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d75b384b6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db4d5e62d6574b90"/>
    <x:sheet xmlns:r="http://schemas.openxmlformats.org/officeDocument/2006/relationships" name="15檔明細" sheetId="2" r:id="R54440629f25e41ab"/>
    <x:sheet xmlns:r="http://schemas.openxmlformats.org/officeDocument/2006/relationships" name="來源分析" sheetId="3" r:id="R09bd4e586ae2435c"/>
    <x:sheet xmlns:r="http://schemas.openxmlformats.org/officeDocument/2006/relationships" name="檢查" sheetId="4" r:id="R525e4a41ef93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0.0&quot;R&quot;;[Red](0.0&quot;R&quot;);-"/>
    <x:numFmt numFmtId="202" formatCode="0.00"/>
    <x:numFmt numFmtId="203" formatCode="0.0%;[Red](0.0%);-"/>
    <x:numFmt numFmtId="204" formatCode="0.000&quot;R&quot;;[Red](0.000&quot;R&quot;);-"/>
    <x:numFmt numFmtId="205" formatCode="0.000"/>
  </x:numFmts>
  <x:fonts count="9">
    <x:font>
      <x:sz val="11"/>
      <x:name val="Carlito"/>
    </x:font>
    <x:font>
      <x:sz val="10"/>
      <x:color rgb="FF1F1F1F"/>
      <x:name val="Aptos"/>
    </x:font>
    <x:font>
      <x:b/>
      <x:sz val="16"/>
      <x:color rgb="FFFFFFFF"/>
      <x:name val="Aptos"/>
    </x:font>
    <x:font>
      <x:b/>
      <x:sz val="10"/>
      <x:color rgb="FFFFFFFF"/>
      <x:name val="Aptos"/>
    </x:font>
    <x:font>
      <x:b/>
      <x:sz val="10"/>
      <x:color rgb="FF1F1F1F"/>
      <x:name val="Aptos"/>
    </x:font>
    <x:font>
      <x:sz val="10"/>
      <x:color rgb="FF008000"/>
      <x:name val="Aptos"/>
    </x:font>
    <x:font>
      <x:b/>
      <x:sz val="10"/>
      <x:color rgb="FF008000"/>
      <x:name val="Aptos"/>
    </x:font>
    <x:font>
      <x:b/>
      <x:sz val="18"/>
      <x:color rgb="FFFFFFFF"/>
      <x:name val="Aptos"/>
    </x:font>
    <x:font>
      <x:b/>
      <x:sz val="12"/>
      <x:color rgb="FF008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9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double">
        <x:color rgb="FF1F4E78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</x:border>
    <x:border>
      <x:left style="thin">
        <x:color rgb="FF70AD47"/>
      </x:left>
      <x:right style="thin">
        <x:color rgb="FF70AD47"/>
      </x:right>
    </x:border>
    <x:border>
      <x:left style="thin">
        <x:color rgb="FF70AD47"/>
      </x:left>
      <x:right style="thin">
        <x:color rgb="FF70AD47"/>
      </x:right>
      <x:bottom style="thin">
        <x:color rgb="FF70AD47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D9E2F3"/>
      </x:bottom>
    </x:border>
    <x:border>
      <x:top style="thin">
        <x:color rgb="FFE7E6E6"/>
      </x:top>
      <x:bottom style="thin">
        <x:color rgb="FFD9E2F3"/>
      </x:bottom>
    </x:border>
    <x:border>
      <x:right style="thin">
        <x:color rgb="FFD9E2F3"/>
      </x:right>
      <x:top style="thin">
        <x:color rgb="FFE7E6E6"/>
      </x:top>
      <x:bottom style="thin">
        <x:color rgb="FFD9E2F3"/>
      </x:bottom>
    </x:border>
  </x:borders>
  <x:cellStyleXfs count="1">
    <x:xf numFmtId="0" fontId="0" fillId="0" borderId="0"/>
  </x:cellStyleXfs>
  <x:cellXfs count="15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4" fillId="3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4" fillId="3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2" fontId="1" fillId="0" borderId="5" xfId="0" applyNumberFormat="1" applyFont="1" applyFill="1" applyBorder="1"/>
    <x:xf numFmtId="202" fontId="4" fillId="3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203" fontId="1" fillId="0" borderId="5" xfId="0" applyNumberFormat="1" applyFont="1" applyFill="1" applyBorder="1"/>
    <x:xf numFmtId="203" fontId="4" fillId="3" borderId="2" xfId="0" applyNumberFormat="1" applyFont="1" applyFill="1" applyBorder="1"/>
    <x:xf numFmtId="204" fontId="1" fillId="0" borderId="3" xfId="0" applyNumberFormat="1" applyFont="1" applyFill="1" applyBorder="1"/>
    <x:xf numFmtId="204" fontId="1" fillId="0" borderId="4" xfId="0" applyNumberFormat="1" applyFont="1" applyFill="1" applyBorder="1"/>
    <x:xf numFmtId="204" fontId="1" fillId="0" borderId="5" xfId="0" applyNumberFormat="1" applyFont="1" applyFill="1" applyBorder="1"/>
    <x:xf numFmtId="204" fontId="4" fillId="3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200" fontId="1" fillId="0" borderId="3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202" fontId="1" fillId="0" borderId="3" xfId="0" applyNumberFormat="1" applyFont="1" applyFill="1" applyBorder="1" applyAlignment="1">
      <x:alignment horizontal="right"/>
    </x:xf>
    <x:xf numFmtId="203" fontId="1" fillId="0" borderId="3" xfId="0" applyNumberFormat="1" applyFont="1" applyFill="1" applyBorder="1" applyAlignment="1">
      <x:alignment horizontal="right"/>
    </x:xf>
    <x:xf numFmtId="204" fontId="1" fillId="0" borderId="3" xfId="0" applyNumberFormat="1" applyFont="1" applyFill="1" applyBorder="1" applyAlignment="1">
      <x:alignment horizontal="right"/>
    </x:xf>
    <x:xf numFmtId="200" fontId="1" fillId="0" borderId="4" xfId="0" applyNumberFormat="1" applyFont="1" applyFill="1" applyBorder="1" applyAlignment="1">
      <x:alignment horizontal="right"/>
    </x:xf>
    <x:xf numFmtId="201" fontId="1" fillId="0" borderId="4" xfId="0" applyNumberFormat="1" applyFont="1" applyFill="1" applyBorder="1" applyAlignment="1">
      <x:alignment horizontal="right"/>
    </x:xf>
    <x:xf numFmtId="202" fontId="1" fillId="0" borderId="4" xfId="0" applyNumberFormat="1" applyFont="1" applyFill="1" applyBorder="1" applyAlignment="1">
      <x:alignment horizontal="right"/>
    </x:xf>
    <x:xf numFmtId="203" fontId="1" fillId="0" borderId="4" xfId="0" applyNumberFormat="1" applyFont="1" applyFill="1" applyBorder="1" applyAlignment="1">
      <x:alignment horizontal="right"/>
    </x:xf>
    <x:xf numFmtId="204" fontId="1" fillId="0" borderId="4" xfId="0" applyNumberFormat="1" applyFont="1" applyFill="1" applyBorder="1" applyAlignment="1">
      <x:alignment horizontal="right"/>
    </x:xf>
    <x:xf numFmtId="200" fontId="1" fillId="0" borderId="5" xfId="0" applyNumberFormat="1" applyFont="1" applyFill="1" applyBorder="1" applyAlignment="1">
      <x:alignment horizontal="right"/>
    </x:xf>
    <x:xf numFmtId="201" fontId="1" fillId="0" borderId="5" xfId="0" applyNumberFormat="1" applyFont="1" applyFill="1" applyBorder="1" applyAlignment="1">
      <x:alignment horizontal="right"/>
    </x:xf>
    <x:xf numFmtId="202" fontId="1" fillId="0" borderId="5" xfId="0" applyNumberFormat="1" applyFont="1" applyFill="1" applyBorder="1" applyAlignment="1">
      <x:alignment horizontal="right"/>
    </x:xf>
    <x:xf numFmtId="203" fontId="1" fillId="0" borderId="5" xfId="0" applyNumberFormat="1" applyFont="1" applyFill="1" applyBorder="1" applyAlignment="1">
      <x:alignment horizontal="right"/>
    </x:xf>
    <x:xf numFmtId="204" fontId="1" fillId="0" borderId="5" xfId="0" applyNumberFormat="1" applyFont="1" applyFill="1" applyBorder="1" applyAlignment="1">
      <x:alignment horizontal="right"/>
    </x:xf>
    <x:xf numFmtId="200" fontId="4" fillId="3" borderId="2" xfId="0" applyNumberFormat="1" applyFont="1" applyFill="1" applyBorder="1" applyAlignment="1">
      <x:alignment horizontal="right"/>
    </x:xf>
    <x:xf numFmtId="201" fontId="4" fillId="3" borderId="2" xfId="0" applyNumberFormat="1" applyFont="1" applyFill="1" applyBorder="1" applyAlignment="1">
      <x:alignment horizontal="right"/>
    </x:xf>
    <x:xf numFmtId="202" fontId="4" fillId="3" borderId="2" xfId="0" applyNumberFormat="1" applyFont="1" applyFill="1" applyBorder="1" applyAlignment="1">
      <x:alignment horizontal="right"/>
    </x:xf>
    <x:xf numFmtId="203" fontId="4" fillId="3" borderId="2" xfId="0" applyNumberFormat="1" applyFont="1" applyFill="1" applyBorder="1" applyAlignment="1">
      <x:alignment horizontal="right"/>
    </x:xf>
    <x:xf numFmtId="204" fontId="4" fillId="3" borderId="2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204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200" fontId="1" fillId="5" borderId="7" xfId="0" applyNumberFormat="1" applyFont="1" applyFill="1" applyBorder="1"/>
    <x:xf numFmtId="200" fontId="1" fillId="5" borderId="8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9" xfId="0" applyNumberFormat="1" applyFont="1" applyFill="1" applyBorder="1" applyAlignment="1">
      <x:alignment horizontal="right"/>
    </x:xf>
    <x:xf numFmtId="0" fontId="8" fillId="6" borderId="10" xfId="0" applyNumberFormat="1" applyFont="1" applyFill="1" applyBorder="1" applyAlignment="1">
      <x:alignment horizontal="right"/>
    </x:xf>
    <x:xf numFmtId="0" fontId="8" fillId="6" borderId="11" xfId="0" applyNumberFormat="1" applyFont="1" applyFill="1" applyBorder="1" applyAlignment="1">
      <x:alignment horizontal="right"/>
    </x:xf>
    <x:xf numFmtId="200" fontId="8" fillId="6" borderId="9" xfId="0" applyNumberFormat="1" applyFont="1" applyFill="1" applyBorder="1" applyAlignment="1">
      <x:alignment horizontal="right"/>
    </x:xf>
    <x:xf numFmtId="200" fontId="8" fillId="6" borderId="10" xfId="0" applyNumberFormat="1" applyFont="1" applyFill="1" applyBorder="1" applyAlignment="1">
      <x:alignment horizontal="right"/>
    </x:xf>
    <x:xf numFmtId="201" fontId="8" fillId="6" borderId="10" xfId="0" applyNumberFormat="1" applyFont="1" applyFill="1" applyBorder="1" applyAlignment="1">
      <x:alignment horizontal="right"/>
    </x:xf>
    <x:xf numFmtId="204" fontId="8" fillId="6" borderId="10" xfId="0" applyNumberFormat="1" applyFont="1" applyFill="1" applyBorder="1" applyAlignment="1">
      <x:alignment horizontal="right"/>
    </x:xf>
    <x:xf numFmtId="202" fontId="8" fillId="6" borderId="10" xfId="0" applyNumberFormat="1" applyFont="1" applyFill="1" applyBorder="1" applyAlignment="1">
      <x:alignment horizontal="right"/>
    </x:xf>
    <x:xf numFmtId="200" fontId="8" fillId="6" borderId="1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0" fontId="5" fillId="0" borderId="1" xfId="0" applyNumberFormat="1" applyFont="1" applyFill="1" applyBorder="1"/>
    <x:xf numFmtId="203" fontId="5" fillId="0" borderId="1" xfId="0" applyNumberFormat="1" applyFont="1" applyFill="1" applyBorder="1"/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1" fillId="5" borderId="15" xfId="0" applyNumberFormat="1" applyFont="1" applyFill="1" applyBorder="1"/>
    <x:xf numFmtId="0" fontId="1" fillId="5" borderId="16" xfId="0" applyNumberFormat="1" applyFont="1" applyFill="1" applyBorder="1"/>
    <x:xf numFmtId="0" fontId="1" fillId="5" borderId="17" xfId="0" applyNumberFormat="1" applyFont="1" applyFill="1" applyBorder="1"/>
    <x:xf numFmtId="0" fontId="1" fillId="5" borderId="18" xfId="0" applyNumberFormat="1" applyFont="1" applyFill="1" applyBorder="1"/>
    <x:xf numFmtId="0" fontId="1" fillId="5" borderId="19" xfId="0" applyNumberFormat="1" applyFont="1" applyFill="1" applyBorder="1"/>
    <x:xf numFmtId="0" fontId="1" fillId="5" borderId="20" xfId="0" applyNumberFormat="1" applyFont="1" applyFill="1" applyBorder="1"/>
    <x:xf numFmtId="0" fontId="1" fillId="5" borderId="21" xfId="0" applyNumberFormat="1" applyFont="1" applyFill="1" applyBorder="1"/>
    <x:xf numFmtId="0" fontId="1" fillId="5" borderId="22" xfId="0" applyNumberFormat="1" applyFont="1" applyFill="1" applyBorder="1"/>
    <x:xf numFmtId="0" fontId="1" fillId="5" borderId="15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wrapText="1"/>
    </x:xf>
    <x:xf numFmtId="0" fontId="1" fillId="5" borderId="17" xfId="0" applyNumberFormat="1" applyFont="1" applyFill="1" applyBorder="1" applyAlignment="1">
      <x:alignment wrapText="1"/>
    </x:xf>
    <x:xf numFmtId="0" fontId="1" fillId="5" borderId="18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9" xfId="0" applyNumberFormat="1" applyFont="1" applyFill="1" applyBorder="1" applyAlignment="1">
      <x:alignment wrapText="1"/>
    </x:xf>
    <x:xf numFmtId="0" fontId="1" fillId="5" borderId="20" xfId="0" applyNumberFormat="1" applyFont="1" applyFill="1" applyBorder="1" applyAlignment="1">
      <x:alignment wrapText="1"/>
    </x:xf>
    <x:xf numFmtId="0" fontId="1" fillId="5" borderId="21" xfId="0" applyNumberFormat="1" applyFont="1" applyFill="1" applyBorder="1" applyAlignment="1">
      <x:alignment wrapText="1"/>
    </x:xf>
    <x:xf numFmtId="0" fontId="1" fillId="5" borderId="22" xfId="0" applyNumberFormat="1" applyFont="1" applyFill="1" applyBorder="1" applyAlignment="1">
      <x:alignment wrapText="1"/>
    </x:xf>
    <x:xf numFmtId="0" fontId="1" fillId="5" borderId="15" xfId="0" applyNumberFormat="1" applyFont="1" applyFill="1" applyBorder="1" applyAlignment="1">
      <x:alignment vertical="top" wrapText="1"/>
    </x:xf>
    <x:xf numFmtId="0" fontId="1" fillId="5" borderId="16" xfId="0" applyNumberFormat="1" applyFont="1" applyFill="1" applyBorder="1" applyAlignment="1">
      <x:alignment vertical="top" wrapText="1"/>
    </x:xf>
    <x:xf numFmtId="0" fontId="1" fillId="5" borderId="17" xfId="0" applyNumberFormat="1" applyFont="1" applyFill="1" applyBorder="1" applyAlignment="1">
      <x:alignment vertical="top" wrapText="1"/>
    </x:xf>
    <x:xf numFmtId="0" fontId="1" fillId="5" borderId="18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9" xfId="0" applyNumberFormat="1" applyFont="1" applyFill="1" applyBorder="1" applyAlignment="1">
      <x:alignment vertical="top" wrapText="1"/>
    </x:xf>
    <x:xf numFmtId="0" fontId="1" fillId="5" borderId="20" xfId="0" applyNumberFormat="1" applyFont="1" applyFill="1" applyBorder="1" applyAlignment="1">
      <x:alignment vertical="top" wrapText="1"/>
    </x:xf>
    <x:xf numFmtId="0" fontId="1" fillId="5" borderId="21" xfId="0" applyNumberFormat="1" applyFont="1" applyFill="1" applyBorder="1" applyAlignment="1">
      <x:alignment vertical="top" wrapText="1"/>
    </x:xf>
    <x:xf numFmtId="0" fontId="1" fillId="5" borderId="2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5" fontId="1" fillId="0" borderId="0" xfId="0" applyNumberFormat="1" applyFont="1" applyFill="1" applyBorder="1"/>
    <x:xf numFmtId="205" fontId="4" fillId="3" borderId="2" xfId="0" applyNumberFormat="1" applyFont="1" applyFill="1" applyBorder="1"/>
    <x:xf numFmtId="205" fontId="5" fillId="0" borderId="0" xfId="0" applyNumberFormat="1" applyFont="1" applyFill="1" applyBorder="1"/>
    <x:xf numFmtId="0" fontId="3" fillId="2" borderId="23" xfId="0" applyNumberFormat="1" applyFont="1" applyFill="1" applyBorder="1" applyAlignment="1">
      <x:alignment horizontal="center"/>
    </x:xf>
    <x:xf numFmtId="0" fontId="1" fillId="0" borderId="24" xfId="0" applyNumberFormat="1" applyFont="1" applyFill="1" applyBorder="1"/>
    <x:xf numFmtId="205" fontId="5" fillId="0" borderId="4" xfId="0" applyNumberFormat="1" applyFont="1" applyFill="1" applyBorder="1"/>
    <x:xf numFmtId="205" fontId="1" fillId="0" borderId="4" xfId="0" applyNumberFormat="1" applyFont="1" applyFill="1" applyBorder="1"/>
    <x:xf numFmtId="0" fontId="1" fillId="0" borderId="25" xfId="0" applyNumberFormat="1" applyFont="1" applyFill="1" applyBorder="1"/>
    <x:xf numFmtId="0" fontId="4" fillId="3" borderId="26" xfId="0" applyNumberFormat="1" applyFont="1" applyFill="1" applyBorder="1"/>
    <x:xf numFmtId="205" fontId="4" fillId="3" borderId="27" xfId="0" applyNumberFormat="1" applyFont="1" applyFill="1" applyBorder="1"/>
    <x:xf numFmtId="0" fontId="4" fillId="3" borderId="27" xfId="0" applyNumberFormat="1" applyFont="1" applyFill="1" applyBorder="1"/>
    <x:xf numFmtId="0" fontId="4" fillId="3" borderId="28" xfId="0" applyNumberFormat="1" applyFont="1" applyFill="1" applyBorder="1"/>
    <x:xf numFmtId="0" fontId="1" fillId="0" borderId="25" xfId="0" applyNumberFormat="1" applyFont="1" applyFill="1" applyBorder="1" applyAlignment="1">
      <x:alignment wrapText="1"/>
    </x:xf>
    <x:xf numFmtId="0" fontId="4" fillId="3" borderId="28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f60c5cb3942ae" /><Relationship Type="http://schemas.openxmlformats.org/officeDocument/2006/relationships/theme" Target="/xl/theme/theme1.xml" Id="Recca3c0f4d3f4bbe" /><Relationship Type="http://schemas.openxmlformats.org/officeDocument/2006/relationships/sharedStrings" Target="/xl/sharedStrings.xml" Id="R793595ed24e44443" /><Relationship Type="http://schemas.openxmlformats.org/officeDocument/2006/relationships/worksheet" Target="/xl/worksheets/sheet1.xml" Id="Rdb4d5e62d6574b90" /><Relationship Type="http://schemas.openxmlformats.org/officeDocument/2006/relationships/worksheet" Target="/xl/worksheets/sheet2.xml" Id="R54440629f25e41ab" /><Relationship Type="http://schemas.openxmlformats.org/officeDocument/2006/relationships/worksheet" Target="/xl/worksheets/sheet3.xml" Id="R09bd4e586ae2435c" /><Relationship Type="http://schemas.openxmlformats.org/officeDocument/2006/relationships/worksheet" Target="/xl/worksheets/sheet4.xml" Id="R525e4a41ef934a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bbdc8c6f364d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各標的五年Net R（R）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R</c:v>
          </c:tx>
          <c:cat>
            <c:strRef>
              <c:f>'總覽'!$J$24:$J$38</c:f>
              <c:strCache>
                <c:ptCount val="0"/>
              </c:strCache>
            </c:strRef>
          </c:cat>
          <c:val>
            <c:numRef>
              <c:f>'總覽'!$K$24:$K$38</c:f>
              <c:numCache>
                <c:formatCode>0.0"R";[Red](0.0"R");-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bbdc8c6f364d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lobalStatsTable" displayName="GlobalStatsTable" ref="A4:T19" headerRowCount="1" totalsRowCount="0" totalsRowShown="0">
  <x:tableColumns count="20">
    <x:tableColumn id="1" name="標的"/>
    <x:tableColumn id="2" name="SETUP"/>
    <x:tableColumn id="3" name="SETUP Active"/>
    <x:tableColumn id="4" name="ARMED"/>
    <x:tableColumn id="5" name="ARMED Active"/>
    <x:tableColumn id="6" name="ENTRY / Valid"/>
    <x:tableColumn id="7" name="Open"/>
    <x:tableColumn id="8" name="已結束"/>
    <x:tableColumn id="9" name="TP2"/>
    <x:tableColumn id="10" name="TP1→BE"/>
    <x:tableColumn id="11" name="Direct SL"/>
    <x:tableColumn id="12" name="Same Bar"/>
    <x:tableColumn id="13" name="Invalid Plan"/>
    <x:tableColumn id="14" name="Net R"/>
    <x:tableColumn id="15" name="交易/年"/>
    <x:tableColumn id="16" name="SETUP→ARMED"/>
    <x:tableColumn id="17" name="ARMED→ENTRY"/>
    <x:tableColumn id="18" name="SETUP→ENTRY"/>
    <x:tableColumn id="19" name="平均R/已結束"/>
    <x:tableColumn id="20" name="結果檢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tsTable" displayName="SourceStatsTable" ref="A18:Q33" headerRowCount="1" totalsRowCount="0" totalsRowShown="0">
  <x:tableColumns count="17">
    <x:tableColumn id="1" name="標的"/>
    <x:tableColumn id="2" name="OB SETUP"/>
    <x:tableColumn id="3" name="FVG SETUP"/>
    <x:tableColumn id="4" name="OB ARMED"/>
    <x:tableColumn id="5" name="FVG ARMED"/>
    <x:tableColumn id="6" name="OB ENTRY"/>
    <x:tableColumn id="7" name="FVG ENTRY"/>
    <x:tableColumn id="8" name="OB TP1 HIT"/>
    <x:tableColumn id="9" name="FVG TP1 HIT"/>
    <x:tableColumn id="10" name="OB TP2"/>
    <x:tableColumn id="11" name="FVG TP2"/>
    <x:tableColumn id="12" name="OB TP1→BE"/>
    <x:tableColumn id="13" name="FVG TP1→BE"/>
    <x:tableColumn id="14" name="OB SL"/>
    <x:tableColumn id="15" name="FVG SL"/>
    <x:tableColumn id="16" name="OB Net R"/>
    <x:tableColumn id="17" name="FVG Net 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e72026ce0346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cb80aa0cf3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2327efc9ef41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4" hidden="0" customWidth="1"/>
    <x:col min="5" max="5" width="17" hidden="0" customWidth="1"/>
    <x:col min="6" max="6" width="16" hidden="0" customWidth="1"/>
    <x:col min="7" max="7" width="14" hidden="0" customWidth="1"/>
    <x:col min="8" max="8" width="14" hidden="0" customWidth="1"/>
    <x:col min="9" max="9" width="3" hidden="0" customWidth="1"/>
    <x:col min="10" max="10" width="12" hidden="0" customWidth="1"/>
    <x:col min="11" max="11" width="12" hidden="0" customWidth="1"/>
  </x:cols>
  <x:sheetData>
    <x:row r="1" ht="34" customHeight="1">
      <x:c r="A1" s="76" t="str">
        <x:v>SMC V10｜15檔五年統計總覽</x:v>
      </x:c>
      <x:c r="B1" s="76"/>
      <x:c r="C1" s="76"/>
      <x:c r="D1" s="76"/>
      <x:c r="E1" s="76"/>
      <x:c r="F1" s="76"/>
      <x:c r="G1" s="76"/>
      <x:c r="H1" s="76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平均單筆獲利採已結束交易計算；Open部位不納入。所有數據來自使用者提供的TradingView截圖。</x:v>
      </x:c>
      <x:c r="B2" s="6"/>
      <x:c r="C2" s="6"/>
      <x:c r="D2" s="6"/>
      <x:c r="E2" s="6"/>
      <x:c r="F2" s="6"/>
      <x:c r="G2" s="6"/>
      <x:c r="H2" s="6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Build</x:v>
      </x:c>
      <x:c r="B4" s="78" t="str">
        <x:v>V10-DH1-ENTRY-05</x:v>
      </x:c>
      <x:c r="C4" s="1"/>
      <x:c r="D4" s="8" t="str">
        <x:v>有效交易</x:v>
      </x:c>
      <x:c r="E4" s="91" t="n">
        <x:f>'15檔明細'!F20</x:f>
        <x:v>120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Session／Timeframe</x:v>
      </x:c>
      <x:c r="B5" s="79" t="str">
        <x:v>ETH／H1</x:v>
      </x:c>
      <x:c r="C5" s="1"/>
      <x:c r="D5" s="8" t="str">
        <x:v>已結束</x:v>
      </x:c>
      <x:c r="E5" s="92" t="n">
        <x:f>'15檔明細'!H20</x:f>
        <x:v>118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Window</x:v>
      </x:c>
      <x:c r="B6" s="79" t="str">
        <x:v>1825D FULL</x:v>
      </x:c>
      <x:c r="C6" s="1"/>
      <x:c r="D6" s="8" t="str">
        <x:v>Open</x:v>
      </x:c>
      <x:c r="E6" s="92" t="n">
        <x:f>'15檔明細'!G20</x:f>
        <x:v>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From</x:v>
      </x:c>
      <x:c r="B7" s="79" t="str">
        <x:v>2021-07-18</x:v>
      </x:c>
      <x:c r="C7" s="1"/>
      <x:c r="D7" s="8" t="str">
        <x:v>總Net R</x:v>
      </x:c>
      <x:c r="E7" s="93" t="n">
        <x:f>'15檔明細'!N20</x:f>
        <x:v>35.5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To</x:v>
      </x:c>
      <x:c r="B8" s="79" t="str">
        <x:v>2026-07-17</x:v>
      </x:c>
      <x:c r="C8" s="1"/>
      <x:c r="D8" s="8" t="str">
        <x:v>平均R／已結束交易</x:v>
      </x:c>
      <x:c r="E8" s="94" t="n">
        <x:f>IF(E5=0,0,E7/E5)</x:f>
        <x:v>0.3008474576271186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標的數</x:v>
      </x:c>
      <x:c r="B9" s="81" t="n">
        <x:f>COUNTA('15檔明細'!A5:A19)</x:f>
        <x:v>15</x:v>
      </x:c>
      <x:c r="C9" s="1"/>
      <x:c r="D9" s="8" t="str">
        <x:v>每檔每年交易</x:v>
      </x:c>
      <x:c r="E9" s="95" t="n">
        <x:f>E4/($B$9*$B$10)</x:f>
        <x:v>1.6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年數</x:v>
      </x:c>
      <x:c r="B10" s="82" t="n">
        <x:v>5</x:v>
      </x:c>
      <x:c r="C10" s="1"/>
      <x:c r="D10" s="8" t="str">
        <x:v>正報酬標的</x:v>
      </x:c>
      <x:c r="E10" s="96" t="n">
        <x:f>COUNTIF('15檔明細'!N5:N19,"&gt;0")</x:f>
        <x:v>11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4" t="str">
        <x:v>漏斗</x:v>
      </x:c>
      <x:c r="B12" s="64" t="str">
        <x:v>數量</x:v>
      </x:c>
      <x:c r="C12" s="64" t="str">
        <x:v>前階段轉換率</x:v>
      </x:c>
      <x:c r="D12" s="64" t="str">
        <x:v>占SETUP</x:v>
      </x:c>
      <x:c r="E12" s="1"/>
      <x:c r="F12" s="64" t="str">
        <x:v>結果</x:v>
      </x:c>
      <x:c r="G12" s="64" t="str">
        <x:v>數量</x:v>
      </x:c>
      <x:c r="H12" s="64" t="str">
        <x:v>占已結束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8" t="str">
        <x:v>SETUP</x:v>
      </x:c>
      <x:c r="B13" s="99" t="n">
        <x:f>'15檔明細'!B20</x:f>
        <x:v>393</x:v>
      </x:c>
      <x:c r="C13" s="100" t="n">
        <x:v>1</x:v>
      </x:c>
      <x:c r="D13" s="100" t="n">
        <x:f>B13/$B$13</x:f>
        <x:v>1</x:v>
      </x:c>
      <x:c r="E13" s="1"/>
      <x:c r="F13" s="98" t="str">
        <x:v>TP2</x:v>
      </x:c>
      <x:c r="G13" s="99" t="n">
        <x:f>'15檔明細'!I20</x:f>
        <x:v>41</x:v>
      </x:c>
      <x:c r="H13" s="100" t="n">
        <x:f>G13/$E$5</x:f>
        <x:v>0.3474576271186441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8" t="str">
        <x:v>ARMED</x:v>
      </x:c>
      <x:c r="B14" s="99" t="n">
        <x:f>'15檔明細'!D20</x:f>
        <x:v>148</x:v>
      </x:c>
      <x:c r="C14" s="100" t="n">
        <x:f>B14/B13</x:f>
        <x:v>0.37659033078880405</x:v>
      </x:c>
      <x:c r="D14" s="100" t="n">
        <x:f>B14/$B$13</x:f>
        <x:v>0.37659033078880405</x:v>
      </x:c>
      <x:c r="E14" s="1"/>
      <x:c r="F14" s="98" t="str">
        <x:v>TP1→BE</x:v>
      </x:c>
      <x:c r="G14" s="99" t="n">
        <x:f>'15檔明細'!J20</x:f>
        <x:v>34</x:v>
      </x:c>
      <x:c r="H14" s="100" t="n">
        <x:f>G14/$E$5</x:f>
        <x:v>0.288135593220339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98" t="str">
        <x:v>ENTRY</x:v>
      </x:c>
      <x:c r="B15" s="99" t="n">
        <x:f>'15檔明細'!F20</x:f>
        <x:v>120</x:v>
      </x:c>
      <x:c r="C15" s="100" t="n">
        <x:f>B15/B14</x:f>
        <x:v>0.8108108108108109</x:v>
      </x:c>
      <x:c r="D15" s="100" t="n">
        <x:f>B15/$B$13</x:f>
        <x:v>0.3053435114503817</x:v>
      </x:c>
      <x:c r="E15" s="1"/>
      <x:c r="F15" s="98" t="str">
        <x:v>Direct SL</x:v>
      </x:c>
      <x:c r="G15" s="99" t="n">
        <x:f>'15檔明細'!K20</x:f>
        <x:v>43</x:v>
      </x:c>
      <x:c r="H15" s="100" t="n">
        <x:f>G15/$E$5</x:f>
        <x:v>0.3644067796610169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8" t="str">
        <x:v>已結束</x:v>
      </x:c>
      <x:c r="B16" s="99" t="n">
        <x:f>'15檔明細'!H20</x:f>
        <x:v>118</x:v>
      </x:c>
      <x:c r="C16" s="100" t="n">
        <x:f>B16/B15</x:f>
        <x:v>0.9833333333333333</x:v>
      </x:c>
      <x:c r="D16" s="100" t="n">
        <x:f>B16/$B$13</x:f>
        <x:v>0.30025445292620867</x:v>
      </x:c>
      <x:c r="E16" s="1"/>
      <x:c r="F16" s="98" t="str">
        <x:v>Open</x:v>
      </x:c>
      <x:c r="G16" s="99" t="n">
        <x:f>'15檔明細'!G20</x:f>
        <x:v>2</x:v>
      </x:c>
      <x:c r="H16" s="100" t="n">
        <x:f>G16/$E$4</x:f>
        <x:v>0.016666666666666666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4" customHeight="1">
      <x:c r="A18" s="106" t="str">
        <x:v>核心公式：平均單筆獲利 = 總Net R ÷ 已結束交易 = 35.5R ÷ 118 = 0.301R／筆。此為未扣交易成本與滑價的毛績效。</x:v>
      </x:c>
      <x:c r="B18" s="107"/>
      <x:c r="C18" s="107"/>
      <x:c r="D18" s="107"/>
      <x:c r="E18" s="107"/>
      <x:c r="F18" s="107"/>
      <x:c r="G18" s="107"/>
      <x:c r="H18" s="108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26" t="str">
        <x:v>解讀：15檔共120筆有效交易，其中118筆已結束、2筆Open；平均每檔每年1.60筆。11檔為正Net R、4檔為負Net R。統計只代表本次樣本與既定V10規則，不含手續費、交易稅與滑價。</x:v>
      </x:c>
      <x:c r="B20" s="127"/>
      <x:c r="C20" s="127"/>
      <x:c r="D20" s="127"/>
      <x:c r="E20" s="127"/>
      <x:c r="F20" s="127"/>
      <x:c r="G20" s="127"/>
      <x:c r="H20" s="128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29"/>
      <x:c r="B21" s="130"/>
      <x:c r="C21" s="130"/>
      <x:c r="D21" s="130"/>
      <x:c r="E21" s="130"/>
      <x:c r="F21" s="130"/>
      <x:c r="G21" s="130"/>
      <x:c r="H21" s="13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2"/>
      <x:c r="B22" s="133"/>
      <x:c r="C22" s="133"/>
      <x:c r="D22" s="133"/>
      <x:c r="E22" s="133"/>
      <x:c r="F22" s="133"/>
      <x:c r="G22" s="133"/>
      <x:c r="H22" s="134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0" t="str">
        <x:v>標的</x:v>
      </x:c>
      <x:c r="K23" s="10" t="str">
        <x:v>Net R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35" t="str">
        <x:f>'15檔明細'!A5</x:f>
        <x:v>2360</x:v>
      </x:c>
      <x:c r="K24" s="71" t="n">
        <x:f>'15檔明細'!N5</x:f>
        <x:v>-1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35" t="str">
        <x:f>'15檔明細'!A6</x:f>
        <x:v>2454</x:v>
      </x:c>
      <x:c r="K25" s="71" t="n">
        <x:f>'15檔明細'!N6</x:f>
        <x:v>0.5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35" t="str">
        <x:f>'15檔明細'!A7</x:f>
        <x:v>3017</x:v>
      </x:c>
      <x:c r="K26" s="71" t="n">
        <x:f>'15檔明細'!N7</x:f>
        <x:v>6.5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35" t="str">
        <x:f>'15檔明細'!A8</x:f>
        <x:v>2615</x:v>
      </x:c>
      <x:c r="K27" s="71" t="n">
        <x:f>'15檔明細'!N8</x:f>
        <x:v>-1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35" t="str">
        <x:f>'15檔明細'!A9</x:f>
        <x:v>2317</x:v>
      </x:c>
      <x:c r="K28" s="71" t="n">
        <x:f>'15檔明細'!N9</x:f>
        <x:v>3.5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35" t="str">
        <x:f>'15檔明細'!A10</x:f>
        <x:v>3443</x:v>
      </x:c>
      <x:c r="K29" s="71" t="n">
        <x:f>'15檔明細'!N10</x:f>
        <x:v>5.5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35" t="str">
        <x:f>'15檔明細'!A11</x:f>
        <x:v>2382</x:v>
      </x:c>
      <x:c r="K30" s="71" t="n">
        <x:f>'15檔明細'!N11</x:f>
        <x:v>-0.5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35" t="str">
        <x:f>'15檔明細'!A12</x:f>
        <x:v>3034</x:v>
      </x:c>
      <x:c r="K31" s="71" t="n">
        <x:f>'15檔明細'!N12</x:f>
        <x:v>5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35" t="str">
        <x:f>'15檔明細'!A13</x:f>
        <x:v>2383</x:v>
      </x:c>
      <x:c r="K32" s="71" t="n">
        <x:f>'15檔明細'!N13</x:f>
        <x:v>3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35" t="str">
        <x:f>'15檔明細'!A14</x:f>
        <x:v>2368</x:v>
      </x:c>
      <x:c r="K33" s="71" t="n">
        <x:f>'15檔明細'!N14</x:f>
        <x:v>1.5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35" t="str">
        <x:f>'15檔明細'!A15</x:f>
        <x:v>8064</x:v>
      </x:c>
      <x:c r="K34" s="71" t="n">
        <x:f>'15檔明細'!N15</x:f>
        <x:v>4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35" t="str">
        <x:f>'15檔明細'!A16</x:f>
        <x:v>3231</x:v>
      </x:c>
      <x:c r="K35" s="71" t="n">
        <x:f>'15檔明細'!N16</x:f>
        <x:v>-1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35" t="str">
        <x:f>'15檔明細'!A17</x:f>
        <x:v>6116</x:v>
      </x:c>
      <x:c r="K36" s="71" t="n">
        <x:f>'15檔明細'!N17</x:f>
        <x:v>5.5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35" t="str">
        <x:f>'15檔明細'!A18</x:f>
        <x:v>6515</x:v>
      </x:c>
      <x:c r="K37" s="71" t="n">
        <x:f>'15檔明細'!N18</x:f>
        <x:v>1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35" t="str">
        <x:f>'15檔明細'!A19</x:f>
        <x:v>6451</x:v>
      </x:c>
      <x:c r="K38" s="71" t="n">
        <x:f>'15檔明細'!N19</x:f>
        <x:v>3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H1"/>
    <x:mergeCell ref="A2:H2"/>
    <x:mergeCell ref="A18:H18"/>
    <x:mergeCell ref="A20:H22"/>
  </x:mergeCells>
  <x:pageMargins left="0.7" right="0.7" top="0.75" bottom="0.75" header="0.3" footer="0.3"/>
  <x:drawing xmlns:r="http://schemas.openxmlformats.org/officeDocument/2006/relationships" r:id="R94e72026ce0346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3" hidden="0" customWidth="1"/>
  </x:cols>
  <x:sheetData>
    <x:row r="1" ht="30" customHeight="1">
      <x:c r="A1" s="4" t="str">
        <x:v>SMC V10｜15檔五年交易明細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1"/>
      <x:c r="V1" s="1"/>
      <x:c r="W1" s="1"/>
      <x:c r="X1" s="1"/>
      <x:c r="Y1" s="1"/>
      <x:c r="Z1" s="1"/>
    </x:row>
    <x:row r="2" ht="30" customHeight="1">
      <x:c r="A2" s="6" t="str">
        <x:v>Build V10-DH1-ENTRY-05｜ETH H1｜1825D FULL｜2021-07-18 至 2026-07-17｜資料來源：使用者提供的15張TradingView截圖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1"/>
      <x:c r="V2" s="1"/>
      <x:c r="W2" s="1"/>
      <x:c r="X2" s="1"/>
      <x:c r="Y2" s="1"/>
      <x:c r="Z2" s="1"/>
    </x:row>
    <x:row r="3">
      <x:c r="A3" s="9" t="str">
        <x:v>全域統計（藍底欄位為截圖輸入；衍生欄位保留Excel公式）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1"/>
      <x:c r="V3" s="1"/>
      <x:c r="W3" s="1"/>
      <x:c r="X3" s="1"/>
      <x:c r="Y3" s="1"/>
      <x:c r="Z3" s="1"/>
    </x:row>
    <x:row r="4" ht="32" customHeight="1">
      <x:c r="A4" s="14" t="str">
        <x:v>標的</x:v>
      </x:c>
      <x:c r="B4" s="14" t="str">
        <x:v>SETUP</x:v>
      </x:c>
      <x:c r="C4" s="14" t="str">
        <x:v>SETUP Active</x:v>
      </x:c>
      <x:c r="D4" s="14" t="str">
        <x:v>ARMED</x:v>
      </x:c>
      <x:c r="E4" s="14" t="str">
        <x:v>ARMED Active</x:v>
      </x:c>
      <x:c r="F4" s="14" t="str">
        <x:v>ENTRY / Valid</x:v>
      </x:c>
      <x:c r="G4" s="14" t="str">
        <x:v>Open</x:v>
      </x:c>
      <x:c r="H4" s="14" t="str">
        <x:v>已結束</x:v>
      </x:c>
      <x:c r="I4" s="14" t="str">
        <x:v>TP2</x:v>
      </x:c>
      <x:c r="J4" s="14" t="str">
        <x:v>TP1→BE</x:v>
      </x:c>
      <x:c r="K4" s="14" t="str">
        <x:v>Direct SL</x:v>
      </x:c>
      <x:c r="L4" s="14" t="str">
        <x:v>Same Bar</x:v>
      </x:c>
      <x:c r="M4" s="14" t="str">
        <x:v>Invalid Plan</x:v>
      </x:c>
      <x:c r="N4" s="14" t="str">
        <x:v>Net R</x:v>
      </x:c>
      <x:c r="O4" s="14" t="str">
        <x:v>交易/年</x:v>
      </x:c>
      <x:c r="P4" s="14" t="str">
        <x:v>SETUP→ARMED</x:v>
      </x:c>
      <x:c r="Q4" s="14" t="str">
        <x:v>ARMED→ENTRY</x:v>
      </x:c>
      <x:c r="R4" s="14" t="str">
        <x:v>SETUP→ENTRY</x:v>
      </x:c>
      <x:c r="S4" s="14" t="str">
        <x:v>平均R/已結束</x:v>
      </x:c>
      <x:c r="T4" s="14" t="str">
        <x:v>結果檢查</x:v>
      </x:c>
      <x:c r="U4" s="1"/>
      <x:c r="V4" s="1"/>
      <x:c r="W4" s="1"/>
      <x:c r="X4" s="1"/>
      <x:c r="Y4" s="1"/>
      <x:c r="Z4" s="1"/>
    </x:row>
    <x:row r="5">
      <x:c r="A5" s="40" t="str">
        <x:v>2360</x:v>
      </x:c>
      <x:c r="B5" s="44" t="n">
        <x:v>18</x:v>
      </x:c>
      <x:c r="C5" s="44" t="n">
        <x:v>0</x:v>
      </x:c>
      <x:c r="D5" s="44" t="n">
        <x:v>12</x:v>
      </x:c>
      <x:c r="E5" s="44" t="n">
        <x:v>0</x:v>
      </x:c>
      <x:c r="F5" s="44" t="n">
        <x:v>8</x:v>
      </x:c>
      <x:c r="G5" s="44" t="n">
        <x:v>0</x:v>
      </x:c>
      <x:c r="H5" s="44" t="n">
        <x:f>F5-G5</x:f>
        <x:v>8</x:v>
      </x:c>
      <x:c r="I5" s="44" t="n">
        <x:v>1</x:v>
      </x:c>
      <x:c r="J5" s="44" t="n">
        <x:v>3</x:v>
      </x:c>
      <x:c r="K5" s="44" t="n">
        <x:v>4</x:v>
      </x:c>
      <x:c r="L5" s="44" t="n">
        <x:v>0</x:v>
      </x:c>
      <x:c r="M5" s="44" t="n">
        <x:v>0</x:v>
      </x:c>
      <x:c r="N5" s="45" t="n">
        <x:v>-1</x:v>
      </x:c>
      <x:c r="O5" s="46" t="n">
        <x:f>F5/'總覽'!$B$10</x:f>
        <x:v>1.6</x:v>
      </x:c>
      <x:c r="P5" s="47" t="n">
        <x:f>IF(B5=0,0,D5/B5)</x:f>
        <x:v>0.6666666666666666</x:v>
      </x:c>
      <x:c r="Q5" s="47" t="n">
        <x:f>IF(D5=0,0,F5/D5)</x:f>
        <x:v>0.6666666666666666</x:v>
      </x:c>
      <x:c r="R5" s="47" t="n">
        <x:f>IF(B5=0,0,F5/B5)</x:f>
        <x:v>0.4444444444444444</x:v>
      </x:c>
      <x:c r="S5" s="48" t="n">
        <x:f>IF(H5=0,0,N5/H5)</x:f>
        <x:v>-0.125</x:v>
      </x:c>
      <x:c r="T5" s="40" t="str">
        <x:f>IF(F5=G5+I5+J5+K5,"OK","CHECK")</x:f>
        <x:v>OK</x:v>
      </x:c>
      <x:c r="U5" s="1"/>
      <x:c r="V5" s="1"/>
      <x:c r="W5" s="1"/>
      <x:c r="X5" s="1"/>
      <x:c r="Y5" s="1"/>
      <x:c r="Z5" s="1"/>
    </x:row>
    <x:row r="6">
      <x:c r="A6" s="41" t="str">
        <x:v>2454</x:v>
      </x:c>
      <x:c r="B6" s="49" t="n">
        <x:v>29</x:v>
      </x:c>
      <x:c r="C6" s="49" t="n">
        <x:v>0</x:v>
      </x:c>
      <x:c r="D6" s="49" t="n">
        <x:v>9</x:v>
      </x:c>
      <x:c r="E6" s="49" t="n">
        <x:v>1</x:v>
      </x:c>
      <x:c r="F6" s="49" t="n">
        <x:v>6</x:v>
      </x:c>
      <x:c r="G6" s="49" t="n">
        <x:v>0</x:v>
      </x:c>
      <x:c r="H6" s="49" t="n">
        <x:f>F6-G6</x:f>
        <x:v>6</x:v>
      </x:c>
      <x:c r="I6" s="49" t="n">
        <x:v>2</x:v>
      </x:c>
      <x:c r="J6" s="49" t="n">
        <x:v>1</x:v>
      </x:c>
      <x:c r="K6" s="49" t="n">
        <x:v>3</x:v>
      </x:c>
      <x:c r="L6" s="49" t="n">
        <x:v>0</x:v>
      </x:c>
      <x:c r="M6" s="49" t="n">
        <x:v>0</x:v>
      </x:c>
      <x:c r="N6" s="50" t="n">
        <x:v>0.5</x:v>
      </x:c>
      <x:c r="O6" s="51" t="n">
        <x:f>F6/'總覽'!$B$10</x:f>
        <x:v>1.2</x:v>
      </x:c>
      <x:c r="P6" s="52" t="n">
        <x:f>IF(B6=0,0,D6/B6)</x:f>
        <x:v>0.3103448275862069</x:v>
      </x:c>
      <x:c r="Q6" s="52" t="n">
        <x:f>IF(D6=0,0,F6/D6)</x:f>
        <x:v>0.6666666666666666</x:v>
      </x:c>
      <x:c r="R6" s="52" t="n">
        <x:f>IF(B6=0,0,F6/B6)</x:f>
        <x:v>0.20689655172413793</x:v>
      </x:c>
      <x:c r="S6" s="53" t="n">
        <x:f>IF(H6=0,0,N6/H6)</x:f>
        <x:v>0.08333333333333333</x:v>
      </x:c>
      <x:c r="T6" s="41" t="str">
        <x:f>IF(F6=G6+I6+J6+K6,"OK","CHECK")</x:f>
        <x:v>OK</x:v>
      </x:c>
      <x:c r="U6" s="1"/>
      <x:c r="V6" s="1"/>
      <x:c r="W6" s="1"/>
      <x:c r="X6" s="1"/>
      <x:c r="Y6" s="1"/>
      <x:c r="Z6" s="1"/>
    </x:row>
    <x:row r="7">
      <x:c r="A7" s="41" t="str">
        <x:v>3017</x:v>
      </x:c>
      <x:c r="B7" s="49" t="n">
        <x:v>19</x:v>
      </x:c>
      <x:c r="C7" s="49" t="n">
        <x:v>0</x:v>
      </x:c>
      <x:c r="D7" s="49" t="n">
        <x:v>9</x:v>
      </x:c>
      <x:c r="E7" s="49" t="n">
        <x:v>0</x:v>
      </x:c>
      <x:c r="F7" s="49" t="n">
        <x:v>6</x:v>
      </x:c>
      <x:c r="G7" s="49" t="n">
        <x:v>0</x:v>
      </x:c>
      <x:c r="H7" s="49" t="n">
        <x:f>F7-G7</x:f>
        <x:v>6</x:v>
      </x:c>
      <x:c r="I7" s="49" t="n">
        <x:v>5</x:v>
      </x:c>
      <x:c r="J7" s="49" t="n">
        <x:v>0</x:v>
      </x:c>
      <x:c r="K7" s="49" t="n">
        <x:v>1</x:v>
      </x:c>
      <x:c r="L7" s="49" t="n">
        <x:v>0</x:v>
      </x:c>
      <x:c r="M7" s="49" t="n">
        <x:v>0</x:v>
      </x:c>
      <x:c r="N7" s="50" t="n">
        <x:v>6.5</x:v>
      </x:c>
      <x:c r="O7" s="51" t="n">
        <x:f>F7/'總覽'!$B$10</x:f>
        <x:v>1.2</x:v>
      </x:c>
      <x:c r="P7" s="52" t="n">
        <x:f>IF(B7=0,0,D7/B7)</x:f>
        <x:v>0.47368421052631576</x:v>
      </x:c>
      <x:c r="Q7" s="52" t="n">
        <x:f>IF(D7=0,0,F7/D7)</x:f>
        <x:v>0.6666666666666666</x:v>
      </x:c>
      <x:c r="R7" s="52" t="n">
        <x:f>IF(B7=0,0,F7/B7)</x:f>
        <x:v>0.3157894736842105</x:v>
      </x:c>
      <x:c r="S7" s="53" t="n">
        <x:f>IF(H7=0,0,N7/H7)</x:f>
        <x:v>1.0833333333333333</x:v>
      </x:c>
      <x:c r="T7" s="41" t="str">
        <x:f>IF(F7=G7+I7+J7+K7,"OK","CHECK")</x:f>
        <x:v>OK</x:v>
      </x:c>
      <x:c r="U7" s="1"/>
      <x:c r="V7" s="1"/>
      <x:c r="W7" s="1"/>
      <x:c r="X7" s="1"/>
      <x:c r="Y7" s="1"/>
      <x:c r="Z7" s="1"/>
    </x:row>
    <x:row r="8">
      <x:c r="A8" s="41" t="str">
        <x:v>2615</x:v>
      </x:c>
      <x:c r="B8" s="49" t="n">
        <x:v>24</x:v>
      </x:c>
      <x:c r="C8" s="49" t="n">
        <x:v>0</x:v>
      </x:c>
      <x:c r="D8" s="49" t="n">
        <x:v>7</x:v>
      </x:c>
      <x:c r="E8" s="49" t="n">
        <x:v>1</x:v>
      </x:c>
      <x:c r="F8" s="49" t="n">
        <x:v>6</x:v>
      </x:c>
      <x:c r="G8" s="49" t="n">
        <x:v>2</x:v>
      </x:c>
      <x:c r="H8" s="49" t="n">
        <x:f>F8-G8</x:f>
        <x:v>4</x:v>
      </x:c>
      <x:c r="I8" s="49" t="n">
        <x:v>0</x:v>
      </x:c>
      <x:c r="J8" s="49" t="n">
        <x:v>2</x:v>
      </x:c>
      <x:c r="K8" s="49" t="n">
        <x:v>2</x:v>
      </x:c>
      <x:c r="L8" s="49" t="n">
        <x:v>0</x:v>
      </x:c>
      <x:c r="M8" s="49" t="n">
        <x:v>0</x:v>
      </x:c>
      <x:c r="N8" s="50" t="n">
        <x:v>-1</x:v>
      </x:c>
      <x:c r="O8" s="51" t="n">
        <x:f>F8/'總覽'!$B$10</x:f>
        <x:v>1.2</x:v>
      </x:c>
      <x:c r="P8" s="52" t="n">
        <x:f>IF(B8=0,0,D8/B8)</x:f>
        <x:v>0.2916666666666667</x:v>
      </x:c>
      <x:c r="Q8" s="52" t="n">
        <x:f>IF(D8=0,0,F8/D8)</x:f>
        <x:v>0.8571428571428571</x:v>
      </x:c>
      <x:c r="R8" s="52" t="n">
        <x:f>IF(B8=0,0,F8/B8)</x:f>
        <x:v>0.25</x:v>
      </x:c>
      <x:c r="S8" s="53" t="n">
        <x:f>IF(H8=0,0,N8/H8)</x:f>
        <x:v>-0.25</x:v>
      </x:c>
      <x:c r="T8" s="41" t="str">
        <x:f>IF(F8=G8+I8+J8+K8,"OK","CHECK")</x:f>
        <x:v>OK</x:v>
      </x:c>
      <x:c r="U8" s="1"/>
      <x:c r="V8" s="1"/>
      <x:c r="W8" s="1"/>
      <x:c r="X8" s="1"/>
      <x:c r="Y8" s="1"/>
      <x:c r="Z8" s="1"/>
    </x:row>
    <x:row r="9">
      <x:c r="A9" s="41" t="str">
        <x:v>2317</x:v>
      </x:c>
      <x:c r="B9" s="49" t="n">
        <x:v>35</x:v>
      </x:c>
      <x:c r="C9" s="49" t="n">
        <x:v>0</x:v>
      </x:c>
      <x:c r="D9" s="49" t="n">
        <x:v>16</x:v>
      </x:c>
      <x:c r="E9" s="49" t="n">
        <x:v>0</x:v>
      </x:c>
      <x:c r="F9" s="49" t="n">
        <x:v>13</x:v>
      </x:c>
      <x:c r="G9" s="49" t="n">
        <x:v>0</x:v>
      </x:c>
      <x:c r="H9" s="49" t="n">
        <x:f>F9-G9</x:f>
        <x:v>13</x:v>
      </x:c>
      <x:c r="I9" s="49" t="n">
        <x:v>6</x:v>
      </x:c>
      <x:c r="J9" s="49" t="n">
        <x:v>1</x:v>
      </x:c>
      <x:c r="K9" s="49" t="n">
        <x:v>6</x:v>
      </x:c>
      <x:c r="L9" s="49" t="n">
        <x:v>0</x:v>
      </x:c>
      <x:c r="M9" s="49" t="n">
        <x:v>0</x:v>
      </x:c>
      <x:c r="N9" s="50" t="n">
        <x:v>3.5</x:v>
      </x:c>
      <x:c r="O9" s="51" t="n">
        <x:f>F9/'總覽'!$B$10</x:f>
        <x:v>2.6</x:v>
      </x:c>
      <x:c r="P9" s="52" t="n">
        <x:f>IF(B9=0,0,D9/B9)</x:f>
        <x:v>0.45714285714285713</x:v>
      </x:c>
      <x:c r="Q9" s="52" t="n">
        <x:f>IF(D9=0,0,F9/D9)</x:f>
        <x:v>0.8125</x:v>
      </x:c>
      <x:c r="R9" s="52" t="n">
        <x:f>IF(B9=0,0,F9/B9)</x:f>
        <x:v>0.37142857142857144</x:v>
      </x:c>
      <x:c r="S9" s="53" t="n">
        <x:f>IF(H9=0,0,N9/H9)</x:f>
        <x:v>0.2692307692307692</x:v>
      </x:c>
      <x:c r="T9" s="41" t="str">
        <x:f>IF(F9=G9+I9+J9+K9,"OK","CHECK")</x:f>
        <x:v>OK</x:v>
      </x:c>
      <x:c r="U9" s="1"/>
      <x:c r="V9" s="1"/>
      <x:c r="W9" s="1"/>
      <x:c r="X9" s="1"/>
      <x:c r="Y9" s="1"/>
      <x:c r="Z9" s="1"/>
    </x:row>
    <x:row r="10">
      <x:c r="A10" s="41" t="str">
        <x:v>3443</x:v>
      </x:c>
      <x:c r="B10" s="49" t="n">
        <x:v>45</x:v>
      </x:c>
      <x:c r="C10" s="49" t="n">
        <x:v>0</x:v>
      </x:c>
      <x:c r="D10" s="49" t="n">
        <x:v>14</x:v>
      </x:c>
      <x:c r="E10" s="49" t="n">
        <x:v>0</x:v>
      </x:c>
      <x:c r="F10" s="49" t="n">
        <x:v>13</x:v>
      </x:c>
      <x:c r="G10" s="49" t="n">
        <x:v>0</x:v>
      </x:c>
      <x:c r="H10" s="49" t="n">
        <x:f>F10-G10</x:f>
        <x:v>13</x:v>
      </x:c>
      <x:c r="I10" s="49" t="n">
        <x:v>5</x:v>
      </x:c>
      <x:c r="J10" s="49" t="n">
        <x:v>4</x:v>
      </x:c>
      <x:c r="K10" s="49" t="n">
        <x:v>4</x:v>
      </x:c>
      <x:c r="L10" s="49" t="n">
        <x:v>0</x:v>
      </x:c>
      <x:c r="M10" s="49" t="n">
        <x:v>0</x:v>
      </x:c>
      <x:c r="N10" s="50" t="n">
        <x:v>5.5</x:v>
      </x:c>
      <x:c r="O10" s="51" t="n">
        <x:f>F10/'總覽'!$B$10</x:f>
        <x:v>2.6</x:v>
      </x:c>
      <x:c r="P10" s="52" t="n">
        <x:f>IF(B10=0,0,D10/B10)</x:f>
        <x:v>0.3111111111111111</x:v>
      </x:c>
      <x:c r="Q10" s="52" t="n">
        <x:f>IF(D10=0,0,F10/D10)</x:f>
        <x:v>0.9285714285714286</x:v>
      </x:c>
      <x:c r="R10" s="52" t="n">
        <x:f>IF(B10=0,0,F10/B10)</x:f>
        <x:v>0.28888888888888886</x:v>
      </x:c>
      <x:c r="S10" s="53" t="n">
        <x:f>IF(H10=0,0,N10/H10)</x:f>
        <x:v>0.4230769230769231</x:v>
      </x:c>
      <x:c r="T10" s="41" t="str">
        <x:f>IF(F10=G10+I10+J10+K10,"OK","CHECK")</x:f>
        <x:v>OK</x:v>
      </x:c>
      <x:c r="U10" s="1"/>
      <x:c r="V10" s="1"/>
      <x:c r="W10" s="1"/>
      <x:c r="X10" s="1"/>
      <x:c r="Y10" s="1"/>
      <x:c r="Z10" s="1"/>
    </x:row>
    <x:row r="11">
      <x:c r="A11" s="41" t="str">
        <x:v>2382</x:v>
      </x:c>
      <x:c r="B11" s="49" t="n">
        <x:v>24</x:v>
      </x:c>
      <x:c r="C11" s="49" t="n">
        <x:v>1</x:v>
      </x:c>
      <x:c r="D11" s="49" t="n">
        <x:v>4</x:v>
      </x:c>
      <x:c r="E11" s="49" t="n">
        <x:v>0</x:v>
      </x:c>
      <x:c r="F11" s="49" t="n">
        <x:v>3</x:v>
      </x:c>
      <x:c r="G11" s="49" t="n">
        <x:v>0</x:v>
      </x:c>
      <x:c r="H11" s="49" t="n">
        <x:f>F11-G11</x:f>
        <x:v>3</x:v>
      </x:c>
      <x:c r="I11" s="49" t="n">
        <x:v>1</x:v>
      </x:c>
      <x:c r="J11" s="49" t="n">
        <x:v>0</x:v>
      </x:c>
      <x:c r="K11" s="49" t="n">
        <x:v>2</x:v>
      </x:c>
      <x:c r="L11" s="49" t="n">
        <x:v>0</x:v>
      </x:c>
      <x:c r="M11" s="49" t="n">
        <x:v>0</x:v>
      </x:c>
      <x:c r="N11" s="50" t="n">
        <x:v>-0.5</x:v>
      </x:c>
      <x:c r="O11" s="51" t="n">
        <x:f>F11/'總覽'!$B$10</x:f>
        <x:v>0.6</x:v>
      </x:c>
      <x:c r="P11" s="52" t="n">
        <x:f>IF(B11=0,0,D11/B11)</x:f>
        <x:v>0.16666666666666666</x:v>
      </x:c>
      <x:c r="Q11" s="52" t="n">
        <x:f>IF(D11=0,0,F11/D11)</x:f>
        <x:v>0.75</x:v>
      </x:c>
      <x:c r="R11" s="52" t="n">
        <x:f>IF(B11=0,0,F11/B11)</x:f>
        <x:v>0.125</x:v>
      </x:c>
      <x:c r="S11" s="53" t="n">
        <x:f>IF(H11=0,0,N11/H11)</x:f>
        <x:v>-0.16666666666666666</x:v>
      </x:c>
      <x:c r="T11" s="41" t="str">
        <x:f>IF(F11=G11+I11+J11+K11,"OK","CHECK")</x:f>
        <x:v>OK</x:v>
      </x:c>
      <x:c r="U11" s="1"/>
      <x:c r="V11" s="1"/>
      <x:c r="W11" s="1"/>
      <x:c r="X11" s="1"/>
      <x:c r="Y11" s="1"/>
      <x:c r="Z11" s="1"/>
    </x:row>
    <x:row r="12">
      <x:c r="A12" s="41" t="str">
        <x:v>3034</x:v>
      </x:c>
      <x:c r="B12" s="49" t="n">
        <x:v>16</x:v>
      </x:c>
      <x:c r="C12" s="49" t="n">
        <x:v>0</x:v>
      </x:c>
      <x:c r="D12" s="49" t="n">
        <x:v>10</x:v>
      </x:c>
      <x:c r="E12" s="49" t="n">
        <x:v>0</x:v>
      </x:c>
      <x:c r="F12" s="49" t="n">
        <x:v>10</x:v>
      </x:c>
      <x:c r="G12" s="49" t="n">
        <x:v>0</x:v>
      </x:c>
      <x:c r="H12" s="49" t="n">
        <x:f>F12-G12</x:f>
        <x:v>10</x:v>
      </x:c>
      <x:c r="I12" s="49" t="n">
        <x:v>3</x:v>
      </x:c>
      <x:c r="J12" s="49" t="n">
        <x:v>5</x:v>
      </x:c>
      <x:c r="K12" s="49" t="n">
        <x:v>2</x:v>
      </x:c>
      <x:c r="L12" s="49" t="n">
        <x:v>0</x:v>
      </x:c>
      <x:c r="M12" s="49" t="n">
        <x:v>0</x:v>
      </x:c>
      <x:c r="N12" s="50" t="n">
        <x:v>5</x:v>
      </x:c>
      <x:c r="O12" s="51" t="n">
        <x:f>F12/'總覽'!$B$10</x:f>
        <x:v>2</x:v>
      </x:c>
      <x:c r="P12" s="52" t="n">
        <x:f>IF(B12=0,0,D12/B12)</x:f>
        <x:v>0.625</x:v>
      </x:c>
      <x:c r="Q12" s="52" t="n">
        <x:f>IF(D12=0,0,F12/D12)</x:f>
        <x:v>1</x:v>
      </x:c>
      <x:c r="R12" s="52" t="n">
        <x:f>IF(B12=0,0,F12/B12)</x:f>
        <x:v>0.625</x:v>
      </x:c>
      <x:c r="S12" s="53" t="n">
        <x:f>IF(H12=0,0,N12/H12)</x:f>
        <x:v>0.5</x:v>
      </x:c>
      <x:c r="T12" s="41" t="str">
        <x:f>IF(F12=G12+I12+J12+K12,"OK","CHECK")</x:f>
        <x:v>OK</x:v>
      </x:c>
      <x:c r="U12" s="1"/>
      <x:c r="V12" s="1"/>
      <x:c r="W12" s="1"/>
      <x:c r="X12" s="1"/>
      <x:c r="Y12" s="1"/>
      <x:c r="Z12" s="1"/>
    </x:row>
    <x:row r="13">
      <x:c r="A13" s="41" t="str">
        <x:v>2383</x:v>
      </x:c>
      <x:c r="B13" s="49" t="n">
        <x:v>32</x:v>
      </x:c>
      <x:c r="C13" s="49" t="n">
        <x:v>0</x:v>
      </x:c>
      <x:c r="D13" s="49" t="n">
        <x:v>13</x:v>
      </x:c>
      <x:c r="E13" s="49" t="n">
        <x:v>2</x:v>
      </x:c>
      <x:c r="F13" s="49" t="n">
        <x:v>9</x:v>
      </x:c>
      <x:c r="G13" s="49" t="n">
        <x:v>0</x:v>
      </x:c>
      <x:c r="H13" s="49" t="n">
        <x:f>F13-G13</x:f>
        <x:v>9</x:v>
      </x:c>
      <x:c r="I13" s="49" t="n">
        <x:v>3</x:v>
      </x:c>
      <x:c r="J13" s="49" t="n">
        <x:v>3</x:v>
      </x:c>
      <x:c r="K13" s="49" t="n">
        <x:v>3</x:v>
      </x:c>
      <x:c r="L13" s="49" t="n">
        <x:v>0</x:v>
      </x:c>
      <x:c r="M13" s="49" t="n">
        <x:v>0</x:v>
      </x:c>
      <x:c r="N13" s="50" t="n">
        <x:v>3</x:v>
      </x:c>
      <x:c r="O13" s="51" t="n">
        <x:f>F13/'總覽'!$B$10</x:f>
        <x:v>1.8</x:v>
      </x:c>
      <x:c r="P13" s="52" t="n">
        <x:f>IF(B13=0,0,D13/B13)</x:f>
        <x:v>0.40625</x:v>
      </x:c>
      <x:c r="Q13" s="52" t="n">
        <x:f>IF(D13=0,0,F13/D13)</x:f>
        <x:v>0.6923076923076923</x:v>
      </x:c>
      <x:c r="R13" s="52" t="n">
        <x:f>IF(B13=0,0,F13/B13)</x:f>
        <x:v>0.28125</x:v>
      </x:c>
      <x:c r="S13" s="53" t="n">
        <x:f>IF(H13=0,0,N13/H13)</x:f>
        <x:v>0.3333333333333333</x:v>
      </x:c>
      <x:c r="T13" s="41" t="str">
        <x:f>IF(F13=G13+I13+J13+K13,"OK","CHECK")</x:f>
        <x:v>OK</x:v>
      </x:c>
      <x:c r="U13" s="1"/>
      <x:c r="V13" s="1"/>
      <x:c r="W13" s="1"/>
      <x:c r="X13" s="1"/>
      <x:c r="Y13" s="1"/>
      <x:c r="Z13" s="1"/>
    </x:row>
    <x:row r="14">
      <x:c r="A14" s="41" t="str">
        <x:v>2368</x:v>
      </x:c>
      <x:c r="B14" s="49" t="n">
        <x:v>13</x:v>
      </x:c>
      <x:c r="C14" s="49" t="n">
        <x:v>0</x:v>
      </x:c>
      <x:c r="D14" s="49" t="n">
        <x:v>8</x:v>
      </x:c>
      <x:c r="E14" s="49" t="n">
        <x:v>0</x:v>
      </x:c>
      <x:c r="F14" s="49" t="n">
        <x:v>6</x:v>
      </x:c>
      <x:c r="G14" s="49" t="n">
        <x:v>0</x:v>
      </x:c>
      <x:c r="H14" s="49" t="n">
        <x:f>F14-G14</x:f>
        <x:v>6</x:v>
      </x:c>
      <x:c r="I14" s="49" t="n">
        <x:v>3</x:v>
      </x:c>
      <x:c r="J14" s="49" t="n">
        <x:v>0</x:v>
      </x:c>
      <x:c r="K14" s="49" t="n">
        <x:v>3</x:v>
      </x:c>
      <x:c r="L14" s="49" t="n">
        <x:v>0</x:v>
      </x:c>
      <x:c r="M14" s="49" t="n">
        <x:v>0</x:v>
      </x:c>
      <x:c r="N14" s="50" t="n">
        <x:v>1.5</x:v>
      </x:c>
      <x:c r="O14" s="51" t="n">
        <x:f>F14/'總覽'!$B$10</x:f>
        <x:v>1.2</x:v>
      </x:c>
      <x:c r="P14" s="52" t="n">
        <x:f>IF(B14=0,0,D14/B14)</x:f>
        <x:v>0.6153846153846154</x:v>
      </x:c>
      <x:c r="Q14" s="52" t="n">
        <x:f>IF(D14=0,0,F14/D14)</x:f>
        <x:v>0.75</x:v>
      </x:c>
      <x:c r="R14" s="52" t="n">
        <x:f>IF(B14=0,0,F14/B14)</x:f>
        <x:v>0.46153846153846156</x:v>
      </x:c>
      <x:c r="S14" s="53" t="n">
        <x:f>IF(H14=0,0,N14/H14)</x:f>
        <x:v>0.25</x:v>
      </x:c>
      <x:c r="T14" s="41" t="str">
        <x:f>IF(F14=G14+I14+J14+K14,"OK","CHECK")</x:f>
        <x:v>OK</x:v>
      </x:c>
      <x:c r="U14" s="1"/>
      <x:c r="V14" s="1"/>
      <x:c r="W14" s="1"/>
      <x:c r="X14" s="1"/>
      <x:c r="Y14" s="1"/>
      <x:c r="Z14" s="1"/>
    </x:row>
    <x:row r="15">
      <x:c r="A15" s="41" t="str">
        <x:v>8064</x:v>
      </x:c>
      <x:c r="B15" s="49" t="n">
        <x:v>22</x:v>
      </x:c>
      <x:c r="C15" s="49" t="n">
        <x:v>0</x:v>
      </x:c>
      <x:c r="D15" s="49" t="n">
        <x:v>8</x:v>
      </x:c>
      <x:c r="E15" s="49" t="n">
        <x:v>1</x:v>
      </x:c>
      <x:c r="F15" s="49" t="n">
        <x:v>5</x:v>
      </x:c>
      <x:c r="G15" s="49" t="n">
        <x:v>0</x:v>
      </x:c>
      <x:c r="H15" s="49" t="n">
        <x:f>F15-G15</x:f>
        <x:v>5</x:v>
      </x:c>
      <x:c r="I15" s="49" t="n">
        <x:v>3</x:v>
      </x:c>
      <x:c r="J15" s="49" t="n">
        <x:v>1</x:v>
      </x:c>
      <x:c r="K15" s="49" t="n">
        <x:v>1</x:v>
      </x:c>
      <x:c r="L15" s="49" t="n">
        <x:v>0</x:v>
      </x:c>
      <x:c r="M15" s="49" t="n">
        <x:v>0</x:v>
      </x:c>
      <x:c r="N15" s="50" t="n">
        <x:v>4</x:v>
      </x:c>
      <x:c r="O15" s="51" t="n">
        <x:f>F15/'總覽'!$B$10</x:f>
        <x:v>1</x:v>
      </x:c>
      <x:c r="P15" s="52" t="n">
        <x:f>IF(B15=0,0,D15/B15)</x:f>
        <x:v>0.36363636363636365</x:v>
      </x:c>
      <x:c r="Q15" s="52" t="n">
        <x:f>IF(D15=0,0,F15/D15)</x:f>
        <x:v>0.625</x:v>
      </x:c>
      <x:c r="R15" s="52" t="n">
        <x:f>IF(B15=0,0,F15/B15)</x:f>
        <x:v>0.22727272727272727</x:v>
      </x:c>
      <x:c r="S15" s="53" t="n">
        <x:f>IF(H15=0,0,N15/H15)</x:f>
        <x:v>0.8</x:v>
      </x:c>
      <x:c r="T15" s="41" t="str">
        <x:f>IF(F15=G15+I15+J15+K15,"OK","CHECK")</x:f>
        <x:v>OK</x:v>
      </x:c>
      <x:c r="U15" s="1"/>
      <x:c r="V15" s="1"/>
      <x:c r="W15" s="1"/>
      <x:c r="X15" s="1"/>
      <x:c r="Y15" s="1"/>
      <x:c r="Z15" s="1"/>
    </x:row>
    <x:row r="16">
      <x:c r="A16" s="41" t="str">
        <x:v>3231</x:v>
      </x:c>
      <x:c r="B16" s="49" t="n">
        <x:v>17</x:v>
      </x:c>
      <x:c r="C16" s="49" t="n">
        <x:v>1</x:v>
      </x:c>
      <x:c r="D16" s="49" t="n">
        <x:v>6</x:v>
      </x:c>
      <x:c r="E16" s="49" t="n">
        <x:v>0</x:v>
      </x:c>
      <x:c r="F16" s="49" t="n">
        <x:v>5</x:v>
      </x:c>
      <x:c r="G16" s="49" t="n">
        <x:v>0</x:v>
      </x:c>
      <x:c r="H16" s="49" t="n">
        <x:f>F16-G16</x:f>
        <x:v>5</x:v>
      </x:c>
      <x:c r="I16" s="49" t="n">
        <x:v>1</x:v>
      </x:c>
      <x:c r="J16" s="49" t="n">
        <x:v>1</x:v>
      </x:c>
      <x:c r="K16" s="49" t="n">
        <x:v>3</x:v>
      </x:c>
      <x:c r="L16" s="49" t="n">
        <x:v>0</x:v>
      </x:c>
      <x:c r="M16" s="49" t="n">
        <x:v>0</x:v>
      </x:c>
      <x:c r="N16" s="50" t="n">
        <x:v>-1</x:v>
      </x:c>
      <x:c r="O16" s="51" t="n">
        <x:f>F16/'總覽'!$B$10</x:f>
        <x:v>1</x:v>
      </x:c>
      <x:c r="P16" s="52" t="n">
        <x:f>IF(B16=0,0,D16/B16)</x:f>
        <x:v>0.35294117647058826</x:v>
      </x:c>
      <x:c r="Q16" s="52" t="n">
        <x:f>IF(D16=0,0,F16/D16)</x:f>
        <x:v>0.8333333333333334</x:v>
      </x:c>
      <x:c r="R16" s="52" t="n">
        <x:f>IF(B16=0,0,F16/B16)</x:f>
        <x:v>0.29411764705882354</x:v>
      </x:c>
      <x:c r="S16" s="53" t="n">
        <x:f>IF(H16=0,0,N16/H16)</x:f>
        <x:v>-0.2</x:v>
      </x:c>
      <x:c r="T16" s="41" t="str">
        <x:f>IF(F16=G16+I16+J16+K16,"OK","CHECK")</x:f>
        <x:v>OK</x:v>
      </x:c>
      <x:c r="U16" s="1"/>
      <x:c r="V16" s="1"/>
      <x:c r="W16" s="1"/>
      <x:c r="X16" s="1"/>
      <x:c r="Y16" s="1"/>
      <x:c r="Z16" s="1"/>
    </x:row>
    <x:row r="17">
      <x:c r="A17" s="41" t="str">
        <x:v>6116</x:v>
      </x:c>
      <x:c r="B17" s="49" t="n">
        <x:v>22</x:v>
      </x:c>
      <x:c r="C17" s="49" t="n">
        <x:v>0</x:v>
      </x:c>
      <x:c r="D17" s="49" t="n">
        <x:v>8</x:v>
      </x:c>
      <x:c r="E17" s="49" t="n">
        <x:v>0</x:v>
      </x:c>
      <x:c r="F17" s="49" t="n">
        <x:v>8</x:v>
      </x:c>
      <x:c r="G17" s="49" t="n">
        <x:v>0</x:v>
      </x:c>
      <x:c r="H17" s="49" t="n">
        <x:f>F17-G17</x:f>
        <x:v>8</x:v>
      </x:c>
      <x:c r="I17" s="49" t="n">
        <x:v>3</x:v>
      </x:c>
      <x:c r="J17" s="49" t="n">
        <x:v>4</x:v>
      </x:c>
      <x:c r="K17" s="49" t="n">
        <x:v>1</x:v>
      </x:c>
      <x:c r="L17" s="49" t="n">
        <x:v>0</x:v>
      </x:c>
      <x:c r="M17" s="49" t="n">
        <x:v>0</x:v>
      </x:c>
      <x:c r="N17" s="50" t="n">
        <x:v>5.5</x:v>
      </x:c>
      <x:c r="O17" s="51" t="n">
        <x:f>F17/'總覽'!$B$10</x:f>
        <x:v>1.6</x:v>
      </x:c>
      <x:c r="P17" s="52" t="n">
        <x:f>IF(B17=0,0,D17/B17)</x:f>
        <x:v>0.36363636363636365</x:v>
      </x:c>
      <x:c r="Q17" s="52" t="n">
        <x:f>IF(D17=0,0,F17/D17)</x:f>
        <x:v>1</x:v>
      </x:c>
      <x:c r="R17" s="52" t="n">
        <x:f>IF(B17=0,0,F17/B17)</x:f>
        <x:v>0.36363636363636365</x:v>
      </x:c>
      <x:c r="S17" s="53" t="n">
        <x:f>IF(H17=0,0,N17/H17)</x:f>
        <x:v>0.6875</x:v>
      </x:c>
      <x:c r="T17" s="41" t="str">
        <x:f>IF(F17=G17+I17+J17+K17,"OK","CHECK")</x:f>
        <x:v>OK</x:v>
      </x:c>
      <x:c r="U17" s="1"/>
      <x:c r="V17" s="1"/>
      <x:c r="W17" s="1"/>
      <x:c r="X17" s="1"/>
      <x:c r="Y17" s="1"/>
      <x:c r="Z17" s="1"/>
    </x:row>
    <x:row r="18">
      <x:c r="A18" s="41" t="str">
        <x:v>6515</x:v>
      </x:c>
      <x:c r="B18" s="49" t="n">
        <x:v>38</x:v>
      </x:c>
      <x:c r="C18" s="49" t="n">
        <x:v>2</x:v>
      </x:c>
      <x:c r="D18" s="49" t="n">
        <x:v>14</x:v>
      </x:c>
      <x:c r="E18" s="49" t="n">
        <x:v>0</x:v>
      </x:c>
      <x:c r="F18" s="49" t="n">
        <x:v>13</x:v>
      </x:c>
      <x:c r="G18" s="49" t="n">
        <x:v>0</x:v>
      </x:c>
      <x:c r="H18" s="49" t="n">
        <x:f>F18-G18</x:f>
        <x:v>13</x:v>
      </x:c>
      <x:c r="I18" s="49" t="n">
        <x:v>2</x:v>
      </x:c>
      <x:c r="J18" s="49" t="n">
        <x:v>6</x:v>
      </x:c>
      <x:c r="K18" s="49" t="n">
        <x:v>5</x:v>
      </x:c>
      <x:c r="L18" s="49" t="n">
        <x:v>0</x:v>
      </x:c>
      <x:c r="M18" s="49" t="n">
        <x:v>0</x:v>
      </x:c>
      <x:c r="N18" s="50" t="n">
        <x:v>1</x:v>
      </x:c>
      <x:c r="O18" s="51" t="n">
        <x:f>F18/'總覽'!$B$10</x:f>
        <x:v>2.6</x:v>
      </x:c>
      <x:c r="P18" s="52" t="n">
        <x:f>IF(B18=0,0,D18/B18)</x:f>
        <x:v>0.3684210526315789</x:v>
      </x:c>
      <x:c r="Q18" s="52" t="n">
        <x:f>IF(D18=0,0,F18/D18)</x:f>
        <x:v>0.9285714285714286</x:v>
      </x:c>
      <x:c r="R18" s="52" t="n">
        <x:f>IF(B18=0,0,F18/B18)</x:f>
        <x:v>0.34210526315789475</x:v>
      </x:c>
      <x:c r="S18" s="53" t="n">
        <x:f>IF(H18=0,0,N18/H18)</x:f>
        <x:v>0.07692307692307693</x:v>
      </x:c>
      <x:c r="T18" s="41" t="str">
        <x:f>IF(F18=G18+I18+J18+K18,"OK","CHECK")</x:f>
        <x:v>OK</x:v>
      </x:c>
      <x:c r="U18" s="1"/>
      <x:c r="V18" s="1"/>
      <x:c r="W18" s="1"/>
      <x:c r="X18" s="1"/>
      <x:c r="Y18" s="1"/>
      <x:c r="Z18" s="1"/>
    </x:row>
    <x:row r="19">
      <x:c r="A19" s="42" t="str">
        <x:v>6451</x:v>
      </x:c>
      <x:c r="B19" s="54" t="n">
        <x:v>39</x:v>
      </x:c>
      <x:c r="C19" s="54" t="n">
        <x:v>1</x:v>
      </x:c>
      <x:c r="D19" s="54" t="n">
        <x:v>10</x:v>
      </x:c>
      <x:c r="E19" s="54" t="n">
        <x:v>0</x:v>
      </x:c>
      <x:c r="F19" s="54" t="n">
        <x:v>9</x:v>
      </x:c>
      <x:c r="G19" s="54" t="n">
        <x:v>0</x:v>
      </x:c>
      <x:c r="H19" s="54" t="n">
        <x:f>F19-G19</x:f>
        <x:v>9</x:v>
      </x:c>
      <x:c r="I19" s="54" t="n">
        <x:v>3</x:v>
      </x:c>
      <x:c r="J19" s="54" t="n">
        <x:v>3</x:v>
      </x:c>
      <x:c r="K19" s="54" t="n">
        <x:v>3</x:v>
      </x:c>
      <x:c r="L19" s="54" t="n">
        <x:v>0</x:v>
      </x:c>
      <x:c r="M19" s="54" t="n">
        <x:v>0</x:v>
      </x:c>
      <x:c r="N19" s="55" t="n">
        <x:v>3</x:v>
      </x:c>
      <x:c r="O19" s="56" t="n">
        <x:f>F19/'總覽'!$B$10</x:f>
        <x:v>1.8</x:v>
      </x:c>
      <x:c r="P19" s="57" t="n">
        <x:f>IF(B19=0,0,D19/B19)</x:f>
        <x:v>0.2564102564102564</x:v>
      </x:c>
      <x:c r="Q19" s="57" t="n">
        <x:f>IF(D19=0,0,F19/D19)</x:f>
        <x:v>0.9</x:v>
      </x:c>
      <x:c r="R19" s="57" t="n">
        <x:f>IF(B19=0,0,F19/B19)</x:f>
        <x:v>0.23076923076923078</x:v>
      </x:c>
      <x:c r="S19" s="58" t="n">
        <x:f>IF(H19=0,0,N19/H19)</x:f>
        <x:v>0.3333333333333333</x:v>
      </x:c>
      <x:c r="T19" s="42" t="str">
        <x:f>IF(F19=G19+I19+J19+K19,"OK","CHECK")</x:f>
        <x:v>OK</x:v>
      </x:c>
      <x:c r="U19" s="1"/>
      <x:c r="V19" s="1"/>
      <x:c r="W19" s="1"/>
      <x:c r="X19" s="1"/>
      <x:c r="Y19" s="1"/>
      <x:c r="Z19" s="1"/>
    </x:row>
    <x:row r="20">
      <x:c r="A20" s="43" t="str">
        <x:v>合計／平均</x:v>
      </x:c>
      <x:c r="B20" s="59" t="n">
        <x:f>SUM(B5:B19)</x:f>
        <x:v>393</x:v>
      </x:c>
      <x:c r="C20" s="59" t="n">
        <x:f>SUM(C5:C19)</x:f>
        <x:v>5</x:v>
      </x:c>
      <x:c r="D20" s="59" t="n">
        <x:f>SUM(D5:D19)</x:f>
        <x:v>148</x:v>
      </x:c>
      <x:c r="E20" s="59" t="n">
        <x:f>SUM(E5:E19)</x:f>
        <x:v>5</x:v>
      </x:c>
      <x:c r="F20" s="59" t="n">
        <x:f>SUM(F5:F19)</x:f>
        <x:v>120</x:v>
      </x:c>
      <x:c r="G20" s="59" t="n">
        <x:f>SUM(G5:G19)</x:f>
        <x:v>2</x:v>
      </x:c>
      <x:c r="H20" s="59" t="n">
        <x:f>SUM(H5:H19)</x:f>
        <x:v>118</x:v>
      </x:c>
      <x:c r="I20" s="59" t="n">
        <x:f>SUM(I5:I19)</x:f>
        <x:v>41</x:v>
      </x:c>
      <x:c r="J20" s="59" t="n">
        <x:f>SUM(J5:J19)</x:f>
        <x:v>34</x:v>
      </x:c>
      <x:c r="K20" s="59" t="n">
        <x:f>SUM(K5:K19)</x:f>
        <x:v>43</x:v>
      </x:c>
      <x:c r="L20" s="59" t="n">
        <x:f>SUM(L5:L19)</x:f>
        <x:v>0</x:v>
      </x:c>
      <x:c r="M20" s="59" t="n">
        <x:f>SUM(M5:M19)</x:f>
        <x:v>0</x:v>
      </x:c>
      <x:c r="N20" s="60" t="n">
        <x:f>SUM(N5:N19)</x:f>
        <x:v>35.5</x:v>
      </x:c>
      <x:c r="O20" s="61" t="n">
        <x:f>F20/('總覽'!$B$9*'總覽'!$B$10)</x:f>
        <x:v>1.6</x:v>
      </x:c>
      <x:c r="P20" s="62" t="n">
        <x:f>D20/B20</x:f>
        <x:v>0.37659033078880405</x:v>
      </x:c>
      <x:c r="Q20" s="62" t="n">
        <x:f>F20/D20</x:f>
        <x:v>0.8108108108108109</x:v>
      </x:c>
      <x:c r="R20" s="62" t="n">
        <x:f>F20/B20</x:f>
        <x:v>0.3053435114503817</x:v>
      </x:c>
      <x:c r="S20" s="63" t="n">
        <x:f>N20/H20</x:f>
        <x:v>0.3008474576271186</x:v>
      </x:c>
      <x:c r="T20" s="43" t="str">
        <x:f>IF(COUNTIF(T5:T19,"&lt;&gt;OK")=0,"OK","CHECK")</x:f>
        <x:v>OK</x:v>
      </x:c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T1"/>
    <x:mergeCell ref="A2:T2"/>
    <x:mergeCell ref="A3:T3"/>
  </x:mergeCells>
  <x:conditionalFormatting sqref="N5:N19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T5:T20">
    <x:cfRule type="containsText" dxfId="2" priority="3" operator="containsText" text="OK"/>
    <x:cfRule type="containsText" dxfId="3" priority="4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aacb80aa0cf34b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4" t="str">
        <x:v>OB／FVG來源分析</x:v>
      </x:c>
      <x:c r="B1" s="4"/>
      <x:c r="C1" s="4"/>
      <x:c r="D1" s="4"/>
      <x:c r="E1" s="4"/>
      <x:c r="F1" s="4"/>
      <x:c r="G1" s="4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所有彙總均以公式連結下方15檔來源明細；Check應全部為0。</x:v>
      </x:c>
      <x:c r="B2" s="6"/>
      <x:c r="C2" s="6"/>
      <x:c r="D2" s="6"/>
      <x:c r="E2" s="6"/>
      <x:c r="F2" s="6"/>
      <x:c r="G2" s="6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4" t="str">
        <x:v>階段／結果</x:v>
      </x:c>
      <x:c r="B3" s="64" t="str">
        <x:v>OB</x:v>
      </x:c>
      <x:c r="C3" s="64" t="str">
        <x:v>FVG</x:v>
      </x:c>
      <x:c r="D3" s="64" t="str">
        <x:v>合計</x:v>
      </x:c>
      <x:c r="E3" s="64" t="str">
        <x:v>OB占比</x:v>
      </x:c>
      <x:c r="F3" s="64" t="str">
        <x:v>FVG占比</x:v>
      </x:c>
      <x:c r="G3" s="64" t="str">
        <x:v>Check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SETUP</x:v>
      </x:c>
      <x:c r="B4" s="70" t="n">
        <x:f>B34</x:f>
        <x:v>119</x:v>
      </x:c>
      <x:c r="C4" s="70" t="n">
        <x:f>C34</x:f>
        <x:v>274</x:v>
      </x:c>
      <x:c r="D4" s="66" t="n">
        <x:f>B4+C4</x:f>
        <x:v>393</x:v>
      </x:c>
      <x:c r="E4" s="68" t="n">
        <x:f>IF(D4=0,0,B4/D4)</x:f>
        <x:v>0.30279898218829515</x:v>
      </x:c>
      <x:c r="F4" s="68" t="n">
        <x:f>IF(D4=0,0,C4/D4)</x:f>
        <x:v>0.6972010178117048</x:v>
      </x:c>
      <x:c r="G4" s="66" t="n">
        <x:f>D4-('15檔明細'!B20)</x:f>
        <x:v>0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ARMED</x:v>
      </x:c>
      <x:c r="B5" s="70" t="n">
        <x:f>D34</x:f>
        <x:v>42</x:v>
      </x:c>
      <x:c r="C5" s="70" t="n">
        <x:f>E34</x:f>
        <x:v>106</x:v>
      </x:c>
      <x:c r="D5" s="66" t="n">
        <x:f>B5+C5</x:f>
        <x:v>148</x:v>
      </x:c>
      <x:c r="E5" s="68" t="n">
        <x:f>IF(D5=0,0,B5/D5)</x:f>
        <x:v>0.28378378378378377</x:v>
      </x:c>
      <x:c r="F5" s="68" t="n">
        <x:f>IF(D5=0,0,C5/D5)</x:f>
        <x:v>0.7162162162162162</x:v>
      </x:c>
      <x:c r="G5" s="66" t="n">
        <x:f>D5-('15檔明細'!D20)</x:f>
        <x:v>0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ENTRY</x:v>
      </x:c>
      <x:c r="B6" s="70" t="n">
        <x:f>F34</x:f>
        <x:v>32</x:v>
      </x:c>
      <x:c r="C6" s="70" t="n">
        <x:f>G34</x:f>
        <x:v>88</x:v>
      </x:c>
      <x:c r="D6" s="66" t="n">
        <x:f>B6+C6</x:f>
        <x:v>120</x:v>
      </x:c>
      <x:c r="E6" s="68" t="n">
        <x:f>IF(D6=0,0,B6/D6)</x:f>
        <x:v>0.26666666666666666</x:v>
      </x:c>
      <x:c r="F6" s="68" t="n">
        <x:f>IF(D6=0,0,C6/D6)</x:f>
        <x:v>0.7333333333333333</x:v>
      </x:c>
      <x:c r="G6" s="66" t="n">
        <x:f>D6-('15檔明細'!F20)</x:f>
        <x:v>0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TP1 HIT</x:v>
      </x:c>
      <x:c r="B7" s="70" t="n">
        <x:f>H34</x:f>
        <x:v>18</x:v>
      </x:c>
      <x:c r="C7" s="70" t="n">
        <x:f>I34</x:f>
        <x:v>57</x:v>
      </x:c>
      <x:c r="D7" s="66" t="n">
        <x:f>B7+C7</x:f>
        <x:v>75</x:v>
      </x:c>
      <x:c r="E7" s="68" t="n">
        <x:f>IF(D7=0,0,B7/D7)</x:f>
        <x:v>0.24</x:v>
      </x:c>
      <x:c r="F7" s="68" t="n">
        <x:f>IF(D7=0,0,C7/D7)</x:f>
        <x:v>0.76</x:v>
      </x:c>
      <x:c r="G7" s="66" t="n">
        <x:f>D7-('15檔明細'!I20+'15檔明細'!J20)</x:f>
        <x:v>0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TP2</x:v>
      </x:c>
      <x:c r="B8" s="70" t="n">
        <x:f>J34</x:f>
        <x:v>9</x:v>
      </x:c>
      <x:c r="C8" s="70" t="n">
        <x:f>K34</x:f>
        <x:v>32</x:v>
      </x:c>
      <x:c r="D8" s="66" t="n">
        <x:f>B8+C8</x:f>
        <x:v>41</x:v>
      </x:c>
      <x:c r="E8" s="68" t="n">
        <x:f>IF(D8=0,0,B8/D8)</x:f>
        <x:v>0.21951219512195122</x:v>
      </x:c>
      <x:c r="F8" s="68" t="n">
        <x:f>IF(D8=0,0,C8/D8)</x:f>
        <x:v>0.7804878048780488</x:v>
      </x:c>
      <x:c r="G8" s="66" t="n">
        <x:f>D8-('15檔明細'!I20)</x:f>
        <x:v>0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TP1→BE</x:v>
      </x:c>
      <x:c r="B9" s="70" t="n">
        <x:f>L34</x:f>
        <x:v>9</x:v>
      </x:c>
      <x:c r="C9" s="70" t="n">
        <x:f>M34</x:f>
        <x:v>25</x:v>
      </x:c>
      <x:c r="D9" s="66" t="n">
        <x:f>B9+C9</x:f>
        <x:v>34</x:v>
      </x:c>
      <x:c r="E9" s="68" t="n">
        <x:f>IF(D9=0,0,B9/D9)</x:f>
        <x:v>0.2647058823529412</x:v>
      </x:c>
      <x:c r="F9" s="68" t="n">
        <x:f>IF(D9=0,0,C9/D9)</x:f>
        <x:v>0.7352941176470589</x:v>
      </x:c>
      <x:c r="G9" s="66" t="n">
        <x:f>D9-('15檔明細'!J20)</x:f>
        <x:v>0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DIRECT SL</x:v>
      </x:c>
      <x:c r="B10" s="70" t="n">
        <x:f>N34</x:f>
        <x:v>14</x:v>
      </x:c>
      <x:c r="C10" s="70" t="n">
        <x:f>O34</x:f>
        <x:v>29</x:v>
      </x:c>
      <x:c r="D10" s="66" t="n">
        <x:f>B10+C10</x:f>
        <x:v>43</x:v>
      </x:c>
      <x:c r="E10" s="68" t="n">
        <x:f>IF(D10=0,0,B10/D10)</x:f>
        <x:v>0.32558139534883723</x:v>
      </x:c>
      <x:c r="F10" s="68" t="n">
        <x:f>IF(D10=0,0,C10/D10)</x:f>
        <x:v>0.6744186046511628</x:v>
      </x:c>
      <x:c r="G10" s="66" t="n">
        <x:f>D10-('15檔明細'!K20)</x:f>
        <x:v>0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NET R</x:v>
      </x:c>
      <x:c r="B11" s="71" t="n">
        <x:f>P34</x:f>
        <x:v>4</x:v>
      </x:c>
      <x:c r="C11" s="71" t="n">
        <x:f>Q34</x:f>
        <x:v>31.5</x:v>
      </x:c>
      <x:c r="D11" s="67" t="n">
        <x:f>B11+C11</x:f>
        <x:v>35.5</x:v>
      </x:c>
      <x:c r="E11" s="68" t="n">
        <x:f>IF(D11=0,0,B11/D11)</x:f>
        <x:v>0.11267605633802817</x:v>
      </x:c>
      <x:c r="F11" s="68" t="n">
        <x:f>IF(D11=0,0,C11/D11)</x:f>
        <x:v>0.8873239436619719</x:v>
      </x:c>
      <x:c r="G11" s="67" t="n">
        <x:f>D11-('15檔明細'!N20)</x:f>
        <x:v>0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65" t="str">
        <x:v>來源效率</x:v>
      </x:c>
      <x:c r="B12" s="72" t="str">
        <x:v>OB</x:v>
      </x:c>
      <x:c r="C12" s="72" t="str">
        <x:v>FVG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已結束交易</x:v>
      </x:c>
      <x:c r="B13" s="70" t="n">
        <x:f>B8+B9+B10</x:f>
        <x:v>32</x:v>
      </x:c>
      <x:c r="C13" s="70" t="n">
        <x:f>C8+C9+C10</x:f>
        <x:v>86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平均R／已結束交易</x:v>
      </x:c>
      <x:c r="B14" s="73" t="n">
        <x:f>IF(B13=0,0,B11/B13)</x:f>
        <x:v>0.125</x:v>
      </x:c>
      <x:c r="C14" s="73" t="n">
        <x:f>IF(C13=0,0,C11/C13)</x:f>
        <x:v>0.36627906976744184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ENTRY占比</x:v>
      </x:c>
      <x:c r="B15" s="74" t="n">
        <x:f>B6/D6</x:f>
        <x:v>0.26666666666666666</x:v>
      </x:c>
      <x:c r="C15" s="74" t="n">
        <x:f>C6/D6</x:f>
        <x:v>0.7333333333333333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8" t="str">
        <x:v>15檔來源明細（截圖輸入）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4" customHeight="1">
      <x:c r="A18" s="14" t="str">
        <x:v>標的</x:v>
      </x:c>
      <x:c r="B18" s="14" t="str">
        <x:v>OB SETUP</x:v>
      </x:c>
      <x:c r="C18" s="14" t="str">
        <x:v>FVG SETUP</x:v>
      </x:c>
      <x:c r="D18" s="14" t="str">
        <x:v>OB ARMED</x:v>
      </x:c>
      <x:c r="E18" s="14" t="str">
        <x:v>FVG ARMED</x:v>
      </x:c>
      <x:c r="F18" s="14" t="str">
        <x:v>OB ENTRY</x:v>
      </x:c>
      <x:c r="G18" s="14" t="str">
        <x:v>FVG ENTRY</x:v>
      </x:c>
      <x:c r="H18" s="14" t="str">
        <x:v>OB TP1 HIT</x:v>
      </x:c>
      <x:c r="I18" s="14" t="str">
        <x:v>FVG TP1 HIT</x:v>
      </x:c>
      <x:c r="J18" s="14" t="str">
        <x:v>OB TP2</x:v>
      </x:c>
      <x:c r="K18" s="14" t="str">
        <x:v>FVG TP2</x:v>
      </x:c>
      <x:c r="L18" s="14" t="str">
        <x:v>OB TP1→BE</x:v>
      </x:c>
      <x:c r="M18" s="14" t="str">
        <x:v>FVG TP1→BE</x:v>
      </x:c>
      <x:c r="N18" s="14" t="str">
        <x:v>OB SL</x:v>
      </x:c>
      <x:c r="O18" s="14" t="str">
        <x:v>FVG SL</x:v>
      </x:c>
      <x:c r="P18" s="14" t="str">
        <x:v>OB Net R</x:v>
      </x:c>
      <x:c r="Q18" s="14" t="str">
        <x:v>FVG Net R</x:v>
      </x:c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7" t="str">
        <x:v>2360</x:v>
      </x:c>
      <x:c r="B19" s="20" t="n">
        <x:v>13</x:v>
      </x:c>
      <x:c r="C19" s="20" t="n">
        <x:v>5</x:v>
      </x:c>
      <x:c r="D19" s="20" t="n">
        <x:v>7</x:v>
      </x:c>
      <x:c r="E19" s="20" t="n">
        <x:v>5</x:v>
      </x:c>
      <x:c r="F19" s="20" t="n">
        <x:v>5</x:v>
      </x:c>
      <x:c r="G19" s="20" t="n">
        <x:v>3</x:v>
      </x:c>
      <x:c r="H19" s="20" t="n">
        <x:v>3</x:v>
      </x:c>
      <x:c r="I19" s="20" t="n">
        <x:v>1</x:v>
      </x:c>
      <x:c r="J19" s="20" t="n">
        <x:v>1</x:v>
      </x:c>
      <x:c r="K19" s="20" t="n">
        <x:v>0</x:v>
      </x:c>
      <x:c r="L19" s="20" t="n">
        <x:v>2</x:v>
      </x:c>
      <x:c r="M19" s="20" t="n">
        <x:v>1</x:v>
      </x:c>
      <x:c r="N19" s="20" t="n">
        <x:v>2</x:v>
      </x:c>
      <x:c r="O19" s="20" t="n">
        <x:v>2</x:v>
      </x:c>
      <x:c r="P19" s="24" t="n">
        <x:v>0.5</x:v>
      </x:c>
      <x:c r="Q19" s="24" t="n">
        <x:v>-1.5</x:v>
      </x:c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8" t="str">
        <x:v>2454</x:v>
      </x:c>
      <x:c r="B20" s="21" t="n">
        <x:v>5</x:v>
      </x:c>
      <x:c r="C20" s="21" t="n">
        <x:v>24</x:v>
      </x:c>
      <x:c r="D20" s="21" t="n">
        <x:v>2</x:v>
      </x:c>
      <x:c r="E20" s="21" t="n">
        <x:v>7</x:v>
      </x:c>
      <x:c r="F20" s="21" t="n">
        <x:v>1</x:v>
      </x:c>
      <x:c r="G20" s="21" t="n">
        <x:v>5</x:v>
      </x:c>
      <x:c r="H20" s="21" t="n">
        <x:v>0</x:v>
      </x:c>
      <x:c r="I20" s="21" t="n">
        <x:v>3</x:v>
      </x:c>
      <x:c r="J20" s="21" t="n">
        <x:v>0</x:v>
      </x:c>
      <x:c r="K20" s="21" t="n">
        <x:v>2</x:v>
      </x:c>
      <x:c r="L20" s="21" t="n">
        <x:v>0</x:v>
      </x:c>
      <x:c r="M20" s="21" t="n">
        <x:v>1</x:v>
      </x:c>
      <x:c r="N20" s="21" t="n">
        <x:v>1</x:v>
      </x:c>
      <x:c r="O20" s="21" t="n">
        <x:v>2</x:v>
      </x:c>
      <x:c r="P20" s="25" t="n">
        <x:v>-1</x:v>
      </x:c>
      <x:c r="Q20" s="25" t="n">
        <x:v>1.5</x:v>
      </x:c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8" t="str">
        <x:v>3017</x:v>
      </x:c>
      <x:c r="B21" s="21" t="n">
        <x:v>7</x:v>
      </x:c>
      <x:c r="C21" s="21" t="n">
        <x:v>12</x:v>
      </x:c>
      <x:c r="D21" s="21" t="n">
        <x:v>5</x:v>
      </x:c>
      <x:c r="E21" s="21" t="n">
        <x:v>4</x:v>
      </x:c>
      <x:c r="F21" s="21" t="n">
        <x:v>4</x:v>
      </x:c>
      <x:c r="G21" s="21" t="n">
        <x:v>2</x:v>
      </x:c>
      <x:c r="H21" s="21" t="n">
        <x:v>3</x:v>
      </x:c>
      <x:c r="I21" s="21" t="n">
        <x:v>2</x:v>
      </x:c>
      <x:c r="J21" s="21" t="n">
        <x:v>3</x:v>
      </x:c>
      <x:c r="K21" s="21" t="n">
        <x:v>2</x:v>
      </x:c>
      <x:c r="L21" s="21" t="n">
        <x:v>0</x:v>
      </x:c>
      <x:c r="M21" s="21" t="n">
        <x:v>0</x:v>
      </x:c>
      <x:c r="N21" s="21" t="n">
        <x:v>1</x:v>
      </x:c>
      <x:c r="O21" s="21" t="n">
        <x:v>0</x:v>
      </x:c>
      <x:c r="P21" s="25" t="n">
        <x:v>3.5</x:v>
      </x:c>
      <x:c r="Q21" s="25" t="n">
        <x:v>3</x:v>
      </x:c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8" t="str">
        <x:v>2615</x:v>
      </x:c>
      <x:c r="B22" s="21" t="n">
        <x:v>6</x:v>
      </x:c>
      <x:c r="C22" s="21" t="n">
        <x:v>18</x:v>
      </x:c>
      <x:c r="D22" s="21" t="n">
        <x:v>1</x:v>
      </x:c>
      <x:c r="E22" s="21" t="n">
        <x:v>6</x:v>
      </x:c>
      <x:c r="F22" s="21" t="n">
        <x:v>0</x:v>
      </x:c>
      <x:c r="G22" s="21" t="n">
        <x:v>6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0</x:v>
      </x:c>
      <x:c r="M22" s="21" t="n">
        <x:v>2</x:v>
      </x:c>
      <x:c r="N22" s="21" t="n">
        <x:v>0</x:v>
      </x:c>
      <x:c r="O22" s="21" t="n">
        <x:v>2</x:v>
      </x:c>
      <x:c r="P22" s="25" t="n">
        <x:v>0</x:v>
      </x:c>
      <x:c r="Q22" s="25" t="n">
        <x:v>-1</x:v>
      </x:c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8" t="str">
        <x:v>2317</x:v>
      </x:c>
      <x:c r="B23" s="21" t="n">
        <x:v>11</x:v>
      </x:c>
      <x:c r="C23" s="21" t="n">
        <x:v>24</x:v>
      </x:c>
      <x:c r="D23" s="21" t="n">
        <x:v>1</x:v>
      </x:c>
      <x:c r="E23" s="21" t="n">
        <x:v>15</x:v>
      </x:c>
      <x:c r="F23" s="21" t="n">
        <x:v>1</x:v>
      </x:c>
      <x:c r="G23" s="21" t="n">
        <x:v>12</x:v>
      </x:c>
      <x:c r="H23" s="21" t="n">
        <x:v>0</x:v>
      </x:c>
      <x:c r="I23" s="21" t="n">
        <x:v>7</x:v>
      </x:c>
      <x:c r="J23" s="21" t="n">
        <x:v>0</x:v>
      </x:c>
      <x:c r="K23" s="21" t="n">
        <x:v>6</x:v>
      </x:c>
      <x:c r="L23" s="21" t="n">
        <x:v>0</x:v>
      </x:c>
      <x:c r="M23" s="21" t="n">
        <x:v>1</x:v>
      </x:c>
      <x:c r="N23" s="21" t="n">
        <x:v>1</x:v>
      </x:c>
      <x:c r="O23" s="21" t="n">
        <x:v>5</x:v>
      </x:c>
      <x:c r="P23" s="25" t="n">
        <x:v>-1</x:v>
      </x:c>
      <x:c r="Q23" s="25" t="n">
        <x:v>4.5</x:v>
      </x:c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8" t="str">
        <x:v>3443</x:v>
      </x:c>
      <x:c r="B24" s="21" t="n">
        <x:v>12</x:v>
      </x:c>
      <x:c r="C24" s="21" t="n">
        <x:v>33</x:v>
      </x:c>
      <x:c r="D24" s="21" t="n">
        <x:v>4</x:v>
      </x:c>
      <x:c r="E24" s="21" t="n">
        <x:v>10</x:v>
      </x:c>
      <x:c r="F24" s="21" t="n">
        <x:v>3</x:v>
      </x:c>
      <x:c r="G24" s="21" t="n">
        <x:v>10</x:v>
      </x:c>
      <x:c r="H24" s="21" t="n">
        <x:v>1</x:v>
      </x:c>
      <x:c r="I24" s="21" t="n">
        <x:v>8</x:v>
      </x:c>
      <x:c r="J24" s="21" t="n">
        <x:v>0</x:v>
      </x:c>
      <x:c r="K24" s="21" t="n">
        <x:v>5</x:v>
      </x:c>
      <x:c r="L24" s="21" t="n">
        <x:v>1</x:v>
      </x:c>
      <x:c r="M24" s="21" t="n">
        <x:v>3</x:v>
      </x:c>
      <x:c r="N24" s="21" t="n">
        <x:v>2</x:v>
      </x:c>
      <x:c r="O24" s="21" t="n">
        <x:v>2</x:v>
      </x:c>
      <x:c r="P24" s="25" t="n">
        <x:v>-1.5</x:v>
      </x:c>
      <x:c r="Q24" s="25" t="n">
        <x:v>7</x:v>
      </x:c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8" t="str">
        <x:v>2382</x:v>
      </x:c>
      <x:c r="B25" s="21" t="n">
        <x:v>9</x:v>
      </x:c>
      <x:c r="C25" s="21" t="n">
        <x:v>15</x:v>
      </x:c>
      <x:c r="D25" s="21" t="n">
        <x:v>3</x:v>
      </x:c>
      <x:c r="E25" s="21" t="n">
        <x:v>1</x:v>
      </x:c>
      <x:c r="F25" s="21" t="n">
        <x:v>2</x:v>
      </x:c>
      <x:c r="G25" s="21" t="n">
        <x:v>1</x:v>
      </x:c>
      <x:c r="H25" s="21" t="n">
        <x:v>1</x:v>
      </x:c>
      <x:c r="I25" s="21" t="n">
        <x:v>0</x:v>
      </x:c>
      <x:c r="J25" s="21" t="n">
        <x:v>1</x:v>
      </x:c>
      <x:c r="K25" s="21" t="n">
        <x:v>0</x:v>
      </x:c>
      <x:c r="L25" s="21" t="n">
        <x:v>0</x:v>
      </x:c>
      <x:c r="M25" s="21" t="n">
        <x:v>0</x:v>
      </x:c>
      <x:c r="N25" s="21" t="n">
        <x:v>1</x:v>
      </x:c>
      <x:c r="O25" s="21" t="n">
        <x:v>1</x:v>
      </x:c>
      <x:c r="P25" s="25" t="n">
        <x:v>0.5</x:v>
      </x:c>
      <x:c r="Q25" s="25" t="n">
        <x:v>-1</x:v>
      </x:c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8" t="str">
        <x:v>3034</x:v>
      </x:c>
      <x:c r="B26" s="21" t="n">
        <x:v>4</x:v>
      </x:c>
      <x:c r="C26" s="21" t="n">
        <x:v>12</x:v>
      </x:c>
      <x:c r="D26" s="21" t="n">
        <x:v>3</x:v>
      </x:c>
      <x:c r="E26" s="21" t="n">
        <x:v>7</x:v>
      </x:c>
      <x:c r="F26" s="21" t="n">
        <x:v>3</x:v>
      </x:c>
      <x:c r="G26" s="21" t="n">
        <x:v>7</x:v>
      </x:c>
      <x:c r="H26" s="21" t="n">
        <x:v>2</x:v>
      </x:c>
      <x:c r="I26" s="21" t="n">
        <x:v>6</x:v>
      </x:c>
      <x:c r="J26" s="21" t="n">
        <x:v>2</x:v>
      </x:c>
      <x:c r="K26" s="21" t="n">
        <x:v>1</x:v>
      </x:c>
      <x:c r="L26" s="21" t="n">
        <x:v>0</x:v>
      </x:c>
      <x:c r="M26" s="21" t="n">
        <x:v>5</x:v>
      </x:c>
      <x:c r="N26" s="21" t="n">
        <x:v>1</x:v>
      </x:c>
      <x:c r="O26" s="21" t="n">
        <x:v>1</x:v>
      </x:c>
      <x:c r="P26" s="25" t="n">
        <x:v>2</x:v>
      </x:c>
      <x:c r="Q26" s="25" t="n">
        <x:v>3</x:v>
      </x:c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8" t="str">
        <x:v>2383</x:v>
      </x:c>
      <x:c r="B27" s="21" t="n">
        <x:v>11</x:v>
      </x:c>
      <x:c r="C27" s="21" t="n">
        <x:v>21</x:v>
      </x:c>
      <x:c r="D27" s="21" t="n">
        <x:v>3</x:v>
      </x:c>
      <x:c r="E27" s="21" t="n">
        <x:v>10</x:v>
      </x:c>
      <x:c r="F27" s="21" t="n">
        <x:v>3</x:v>
      </x:c>
      <x:c r="G27" s="21" t="n">
        <x:v>6</x:v>
      </x:c>
      <x:c r="H27" s="21" t="n">
        <x:v>1</x:v>
      </x:c>
      <x:c r="I27" s="21" t="n">
        <x:v>5</x:v>
      </x:c>
      <x:c r="J27" s="21" t="n">
        <x:v>0</x:v>
      </x:c>
      <x:c r="K27" s="21" t="n">
        <x:v>3</x:v>
      </x:c>
      <x:c r="L27" s="21" t="n">
        <x:v>1</x:v>
      </x:c>
      <x:c r="M27" s="21" t="n">
        <x:v>2</x:v>
      </x:c>
      <x:c r="N27" s="21" t="n">
        <x:v>2</x:v>
      </x:c>
      <x:c r="O27" s="21" t="n">
        <x:v>1</x:v>
      </x:c>
      <x:c r="P27" s="25" t="n">
        <x:v>-1.5</x:v>
      </x:c>
      <x:c r="Q27" s="25" t="n">
        <x:v>4.5</x:v>
      </x:c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8" t="str">
        <x:v>2368</x:v>
      </x:c>
      <x:c r="B28" s="21" t="n">
        <x:v>6</x:v>
      </x:c>
      <x:c r="C28" s="21" t="n">
        <x:v>7</x:v>
      </x:c>
      <x:c r="D28" s="21" t="n">
        <x:v>3</x:v>
      </x:c>
      <x:c r="E28" s="21" t="n">
        <x:v>5</x:v>
      </x:c>
      <x:c r="F28" s="21" t="n">
        <x:v>2</x:v>
      </x:c>
      <x:c r="G28" s="21" t="n">
        <x:v>4</x:v>
      </x:c>
      <x:c r="H28" s="21" t="n">
        <x:v>1</x:v>
      </x:c>
      <x:c r="I28" s="21" t="n">
        <x:v>2</x:v>
      </x:c>
      <x:c r="J28" s="21" t="n">
        <x:v>1</x:v>
      </x:c>
      <x:c r="K28" s="21" t="n">
        <x:v>2</x:v>
      </x:c>
      <x:c r="L28" s="21" t="n">
        <x:v>0</x:v>
      </x:c>
      <x:c r="M28" s="21" t="n">
        <x:v>0</x:v>
      </x:c>
      <x:c r="N28" s="21" t="n">
        <x:v>1</x:v>
      </x:c>
      <x:c r="O28" s="21" t="n">
        <x:v>2</x:v>
      </x:c>
      <x:c r="P28" s="25" t="n">
        <x:v>0.5</x:v>
      </x:c>
      <x:c r="Q28" s="25" t="n">
        <x:v>1</x:v>
      </x:c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8" t="str">
        <x:v>8064</x:v>
      </x:c>
      <x:c r="B29" s="21" t="n">
        <x:v>8</x:v>
      </x:c>
      <x:c r="C29" s="21" t="n">
        <x:v>14</x:v>
      </x:c>
      <x:c r="D29" s="21" t="n">
        <x:v>2</x:v>
      </x:c>
      <x:c r="E29" s="21" t="n">
        <x:v>6</x:v>
      </x:c>
      <x:c r="F29" s="21" t="n">
        <x:v>1</x:v>
      </x:c>
      <x:c r="G29" s="21" t="n">
        <x:v>4</x:v>
      </x:c>
      <x:c r="H29" s="21" t="n">
        <x:v>1</x:v>
      </x:c>
      <x:c r="I29" s="21" t="n">
        <x:v>3</x:v>
      </x:c>
      <x:c r="J29" s="21" t="n">
        <x:v>1</x:v>
      </x:c>
      <x:c r="K29" s="21" t="n">
        <x:v>2</x:v>
      </x:c>
      <x:c r="L29" s="21" t="n">
        <x:v>0</x:v>
      </x:c>
      <x:c r="M29" s="21" t="n">
        <x:v>1</x:v>
      </x:c>
      <x:c r="N29" s="21" t="n">
        <x:v>0</x:v>
      </x:c>
      <x:c r="O29" s="21" t="n">
        <x:v>1</x:v>
      </x:c>
      <x:c r="P29" s="25" t="n">
        <x:v>1.5</x:v>
      </x:c>
      <x:c r="Q29" s="25" t="n">
        <x:v>2.5</x:v>
      </x:c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8" t="str">
        <x:v>3231</x:v>
      </x:c>
      <x:c r="B30" s="21" t="n">
        <x:v>3</x:v>
      </x:c>
      <x:c r="C30" s="21" t="n">
        <x:v>14</x:v>
      </x:c>
      <x:c r="D30" s="21" t="n">
        <x:v>1</x:v>
      </x:c>
      <x:c r="E30" s="21" t="n">
        <x:v>5</x:v>
      </x:c>
      <x:c r="F30" s="21" t="n">
        <x:v>0</x:v>
      </x:c>
      <x:c r="G30" s="21" t="n">
        <x:v>5</x:v>
      </x:c>
      <x:c r="H30" s="21" t="n">
        <x:v>0</x:v>
      </x:c>
      <x:c r="I30" s="21" t="n">
        <x:v>2</x:v>
      </x:c>
      <x:c r="J30" s="21" t="n">
        <x:v>0</x:v>
      </x:c>
      <x:c r="K30" s="21" t="n">
        <x:v>1</x:v>
      </x:c>
      <x:c r="L30" s="21" t="n">
        <x:v>0</x:v>
      </x:c>
      <x:c r="M30" s="21" t="n">
        <x:v>1</x:v>
      </x:c>
      <x:c r="N30" s="21" t="n">
        <x:v>0</x:v>
      </x:c>
      <x:c r="O30" s="21" t="n">
        <x:v>3</x:v>
      </x:c>
      <x:c r="P30" s="25" t="n">
        <x:v>0</x:v>
      </x:c>
      <x:c r="Q30" s="25" t="n">
        <x:v>-1</x:v>
      </x:c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8" t="str">
        <x:v>6116</x:v>
      </x:c>
      <x:c r="B31" s="21" t="n">
        <x:v>6</x:v>
      </x:c>
      <x:c r="C31" s="21" t="n">
        <x:v>16</x:v>
      </x:c>
      <x:c r="D31" s="21" t="n">
        <x:v>4</x:v>
      </x:c>
      <x:c r="E31" s="21" t="n">
        <x:v>4</x:v>
      </x:c>
      <x:c r="F31" s="21" t="n">
        <x:v>4</x:v>
      </x:c>
      <x:c r="G31" s="21" t="n">
        <x:v>4</x:v>
      </x:c>
      <x:c r="H31" s="21" t="n">
        <x:v>3</x:v>
      </x:c>
      <x:c r="I31" s="21" t="n">
        <x:v>4</x:v>
      </x:c>
      <x:c r="J31" s="21" t="n">
        <x:v>0</x:v>
      </x:c>
      <x:c r="K31" s="21" t="n">
        <x:v>3</x:v>
      </x:c>
      <x:c r="L31" s="21" t="n">
        <x:v>3</x:v>
      </x:c>
      <x:c r="M31" s="21" t="n">
        <x:v>1</x:v>
      </x:c>
      <x:c r="N31" s="21" t="n">
        <x:v>1</x:v>
      </x:c>
      <x:c r="O31" s="21" t="n">
        <x:v>0</x:v>
      </x:c>
      <x:c r="P31" s="25" t="n">
        <x:v>0.5</x:v>
      </x:c>
      <x:c r="Q31" s="25" t="n">
        <x:v>5</x:v>
      </x:c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8" t="str">
        <x:v>6515</x:v>
      </x:c>
      <x:c r="B32" s="21" t="n">
        <x:v>9</x:v>
      </x:c>
      <x:c r="C32" s="21" t="n">
        <x:v>29</x:v>
      </x:c>
      <x:c r="D32" s="21" t="n">
        <x:v>2</x:v>
      </x:c>
      <x:c r="E32" s="21" t="n">
        <x:v>12</x:v>
      </x:c>
      <x:c r="F32" s="21" t="n">
        <x:v>2</x:v>
      </x:c>
      <x:c r="G32" s="21" t="n">
        <x:v>11</x:v>
      </x:c>
      <x:c r="H32" s="21" t="n">
        <x:v>1</x:v>
      </x:c>
      <x:c r="I32" s="21" t="n">
        <x:v>7</x:v>
      </x:c>
      <x:c r="J32" s="21" t="n">
        <x:v>0</x:v>
      </x:c>
      <x:c r="K32" s="21" t="n">
        <x:v>2</x:v>
      </x:c>
      <x:c r="L32" s="21" t="n">
        <x:v>1</x:v>
      </x:c>
      <x:c r="M32" s="21" t="n">
        <x:v>5</x:v>
      </x:c>
      <x:c r="N32" s="21" t="n">
        <x:v>1</x:v>
      </x:c>
      <x:c r="O32" s="21" t="n">
        <x:v>4</x:v>
      </x:c>
      <x:c r="P32" s="25" t="n">
        <x:v>-0.5</x:v>
      </x:c>
      <x:c r="Q32" s="25" t="n">
        <x:v>1.5</x:v>
      </x:c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9" t="str">
        <x:v>6451</x:v>
      </x:c>
      <x:c r="B33" s="22" t="n">
        <x:v>9</x:v>
      </x:c>
      <x:c r="C33" s="22" t="n">
        <x:v>30</x:v>
      </x:c>
      <x:c r="D33" s="22" t="n">
        <x:v>1</x:v>
      </x:c>
      <x:c r="E33" s="22" t="n">
        <x:v>9</x:v>
      </x:c>
      <x:c r="F33" s="22" t="n">
        <x:v>1</x:v>
      </x:c>
      <x:c r="G33" s="22" t="n">
        <x:v>8</x:v>
      </x:c>
      <x:c r="H33" s="22" t="n">
        <x:v>1</x:v>
      </x:c>
      <x:c r="I33" s="22" t="n">
        <x:v>5</x:v>
      </x:c>
      <x:c r="J33" s="22" t="n">
        <x:v>0</x:v>
      </x:c>
      <x:c r="K33" s="22" t="n">
        <x:v>3</x:v>
      </x:c>
      <x:c r="L33" s="22" t="n">
        <x:v>1</x:v>
      </x:c>
      <x:c r="M33" s="22" t="n">
        <x:v>2</x:v>
      </x:c>
      <x:c r="N33" s="22" t="n">
        <x:v>0</x:v>
      </x:c>
      <x:c r="O33" s="22" t="n">
        <x:v>3</x:v>
      </x:c>
      <x:c r="P33" s="26" t="n">
        <x:v>0.5</x:v>
      </x:c>
      <x:c r="Q33" s="26" t="n">
        <x:v>2.5</x:v>
      </x:c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6" t="str">
        <x:v>合計</x:v>
      </x:c>
      <x:c r="B34" s="23" t="n">
        <x:f>SUM(B19:B33)</x:f>
        <x:v>119</x:v>
      </x:c>
      <x:c r="C34" s="23" t="n">
        <x:f>SUM(C19:C33)</x:f>
        <x:v>274</x:v>
      </x:c>
      <x:c r="D34" s="23" t="n">
        <x:f>SUM(D19:D33)</x:f>
        <x:v>42</x:v>
      </x:c>
      <x:c r="E34" s="23" t="n">
        <x:f>SUM(E19:E33)</x:f>
        <x:v>106</x:v>
      </x:c>
      <x:c r="F34" s="23" t="n">
        <x:f>SUM(F19:F33)</x:f>
        <x:v>32</x:v>
      </x:c>
      <x:c r="G34" s="23" t="n">
        <x:f>SUM(G19:G33)</x:f>
        <x:v>88</x:v>
      </x:c>
      <x:c r="H34" s="23" t="n">
        <x:f>SUM(H19:H33)</x:f>
        <x:v>18</x:v>
      </x:c>
      <x:c r="I34" s="23" t="n">
        <x:f>SUM(I19:I33)</x:f>
        <x:v>57</x:v>
      </x:c>
      <x:c r="J34" s="23" t="n">
        <x:f>SUM(J19:J33)</x:f>
        <x:v>9</x:v>
      </x:c>
      <x:c r="K34" s="23" t="n">
        <x:f>SUM(K19:K33)</x:f>
        <x:v>32</x:v>
      </x:c>
      <x:c r="L34" s="23" t="n">
        <x:f>SUM(L19:L33)</x:f>
        <x:v>9</x:v>
      </x:c>
      <x:c r="M34" s="23" t="n">
        <x:f>SUM(M19:M33)</x:f>
        <x:v>25</x:v>
      </x:c>
      <x:c r="N34" s="23" t="n">
        <x:f>SUM(N19:N33)</x:f>
        <x:v>14</x:v>
      </x:c>
      <x:c r="O34" s="23" t="n">
        <x:f>SUM(O19:O33)</x:f>
        <x:v>29</x:v>
      </x:c>
      <x:c r="P34" s="27" t="n">
        <x:f>SUM(P19:P33)</x:f>
        <x:v>4</x:v>
      </x:c>
      <x:c r="Q34" s="27" t="n">
        <x:f>SUM(Q19:Q33)</x:f>
        <x:v>31.5</x:v>
      </x:c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G1"/>
    <x:mergeCell ref="A2:G2"/>
    <x:mergeCell ref="A17:Q17"/>
  </x:mergeCells>
  <x:conditionalFormatting sqref="G4:G11">
    <x:cfRule type="cellIs" dxfId="4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2327efc9ef41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48" hidden="0" customWidth="1"/>
  </x:cols>
  <x:sheetData>
    <x:row r="1">
      <x:c r="A1" s="3" t="str">
        <x:v>資料與公式檢查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" t="str">
        <x:v>所有Difference應為0，Status應為OK。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39" t="str">
        <x:v>檢查項目</x:v>
      </x:c>
      <x:c r="B3" s="139" t="str">
        <x:v>Actual</x:v>
      </x:c>
      <x:c r="C3" s="139" t="str">
        <x:v>Expected</x:v>
      </x:c>
      <x:c r="D3" s="139" t="str">
        <x:v>Difference</x:v>
      </x:c>
      <x:c r="E3" s="139" t="str">
        <x:v>Tolerance</x:v>
      </x:c>
      <x:c r="F3" s="139" t="str">
        <x:v>Status</x:v>
      </x:c>
      <x:c r="G3" s="139" t="str">
        <x:v>說明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40" t="str">
        <x:v>全域交易結果閉合</x:v>
      </x:c>
      <x:c r="B4" s="141" t="n">
        <x:f>'15檔明細'!F20</x:f>
        <x:v>120</x:v>
      </x:c>
      <x:c r="C4" s="141" t="n">
        <x:f>'15檔明細'!G20+'15檔明細'!I20+'15檔明細'!J20+'15檔明細'!K20</x:f>
        <x:v>120</x:v>
      </x:c>
      <x:c r="D4" s="141" t="n">
        <x:f>B4-C4</x:f>
        <x:v>0</x:v>
      </x:c>
      <x:c r="E4" s="142" t="n">
        <x:v>0.000001</x:v>
      </x:c>
      <x:c r="F4" s="18" t="str">
        <x:f>IF(ABS(D4)&lt;=E4,"OK","CHECK")</x:f>
        <x:v>OK</x:v>
      </x:c>
      <x:c r="G4" s="148" t="str">
        <x:v>ENTRY = Open + TP2 + BE + SL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40" t="str">
        <x:v>全域Net R閉合</x:v>
      </x:c>
      <x:c r="B5" s="141" t="n">
        <x:f>'15檔明細'!N20</x:f>
        <x:v>35.5</x:v>
      </x:c>
      <x:c r="C5" s="141" t="n">
        <x:f>'15檔明細'!I20*1.5+'15檔明細'!J20*0.5-'15檔明細'!K20</x:f>
        <x:v>35.5</x:v>
      </x:c>
      <x:c r="D5" s="141" t="n">
        <x:f>B5-C5</x:f>
        <x:v>0</x:v>
      </x:c>
      <x:c r="E5" s="142" t="n">
        <x:v>0.000001</x:v>
      </x:c>
      <x:c r="F5" s="18" t="str">
        <x:f>IF(ABS(D5)&lt;=E5,"OK","CHECK")</x:f>
        <x:v>OK</x:v>
      </x:c>
      <x:c r="G5" s="148" t="str">
        <x:v>Net R = TP2×1.5R + BE×0.5R - SL×1R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40" t="str">
        <x:v>SETUP來源閉合</x:v>
      </x:c>
      <x:c r="B6" s="141" t="n">
        <x:f>'15檔明細'!B20</x:f>
        <x:v>393</x:v>
      </x:c>
      <x:c r="C6" s="141" t="n">
        <x:f>'來源分析'!B4+'來源分析'!C4</x:f>
        <x:v>393</x:v>
      </x:c>
      <x:c r="D6" s="141" t="n">
        <x:f>B6-C6</x:f>
        <x:v>0</x:v>
      </x:c>
      <x:c r="E6" s="142" t="n">
        <x:v>0.000001</x:v>
      </x:c>
      <x:c r="F6" s="18" t="str">
        <x:f>IF(ABS(D6)&lt;=E6,"OK","CHECK")</x:f>
        <x:v>OK</x:v>
      </x:c>
      <x:c r="G6" s="148" t="str">
        <x:v>全域 = OB + FVG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40" t="str">
        <x:v>ARMED來源閉合</x:v>
      </x:c>
      <x:c r="B7" s="141" t="n">
        <x:f>'15檔明細'!D20</x:f>
        <x:v>148</x:v>
      </x:c>
      <x:c r="C7" s="141" t="n">
        <x:f>'來源分析'!B5+'來源分析'!C5</x:f>
        <x:v>148</x:v>
      </x:c>
      <x:c r="D7" s="141" t="n">
        <x:f>B7-C7</x:f>
        <x:v>0</x:v>
      </x:c>
      <x:c r="E7" s="142" t="n">
        <x:v>0.000001</x:v>
      </x:c>
      <x:c r="F7" s="18" t="str">
        <x:f>IF(ABS(D7)&lt;=E7,"OK","CHECK")</x:f>
        <x:v>OK</x:v>
      </x:c>
      <x:c r="G7" s="148" t="str">
        <x:v>全域 = OB + FVG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40" t="str">
        <x:v>ENTRY來源閉合</x:v>
      </x:c>
      <x:c r="B8" s="141" t="n">
        <x:f>'15檔明細'!F20</x:f>
        <x:v>120</x:v>
      </x:c>
      <x:c r="C8" s="141" t="n">
        <x:f>'來源分析'!B6+'來源分析'!C6</x:f>
        <x:v>120</x:v>
      </x:c>
      <x:c r="D8" s="141" t="n">
        <x:f>B8-C8</x:f>
        <x:v>0</x:v>
      </x:c>
      <x:c r="E8" s="142" t="n">
        <x:v>0.000001</x:v>
      </x:c>
      <x:c r="F8" s="18" t="str">
        <x:f>IF(ABS(D8)&lt;=E8,"OK","CHECK")</x:f>
        <x:v>OK</x:v>
      </x:c>
      <x:c r="G8" s="148" t="str">
        <x:v>全域 = OB + FVG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40" t="str">
        <x:v>TP1 HIT來源閉合</x:v>
      </x:c>
      <x:c r="B9" s="141" t="n">
        <x:f>'15檔明細'!I20+'15檔明細'!J20</x:f>
        <x:v>75</x:v>
      </x:c>
      <x:c r="C9" s="141" t="n">
        <x:f>'來源分析'!B7+'來源分析'!C7</x:f>
        <x:v>75</x:v>
      </x:c>
      <x:c r="D9" s="141" t="n">
        <x:f>B9-C9</x:f>
        <x:v>0</x:v>
      </x:c>
      <x:c r="E9" s="142" t="n">
        <x:v>0.000001</x:v>
      </x:c>
      <x:c r="F9" s="18" t="str">
        <x:f>IF(ABS(D9)&lt;=E9,"OK","CHECK")</x:f>
        <x:v>OK</x:v>
      </x:c>
      <x:c r="G9" s="148" t="str">
        <x:v>全域 = OB + FVG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40" t="str">
        <x:v>TP2來源閉合</x:v>
      </x:c>
      <x:c r="B10" s="141" t="n">
        <x:f>'15檔明細'!I20</x:f>
        <x:v>41</x:v>
      </x:c>
      <x:c r="C10" s="141" t="n">
        <x:f>'來源分析'!B8+'來源分析'!C8</x:f>
        <x:v>41</x:v>
      </x:c>
      <x:c r="D10" s="141" t="n">
        <x:f>B10-C10</x:f>
        <x:v>0</x:v>
      </x:c>
      <x:c r="E10" s="142" t="n">
        <x:v>0.000001</x:v>
      </x:c>
      <x:c r="F10" s="18" t="str">
        <x:f>IF(ABS(D10)&lt;=E10,"OK","CHECK")</x:f>
        <x:v>OK</x:v>
      </x:c>
      <x:c r="G10" s="148" t="str">
        <x:v>全域 = OB + FVG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40" t="str">
        <x:v>BE來源閉合</x:v>
      </x:c>
      <x:c r="B11" s="141" t="n">
        <x:f>'15檔明細'!J20</x:f>
        <x:v>34</x:v>
      </x:c>
      <x:c r="C11" s="141" t="n">
        <x:f>'來源分析'!B9+'來源分析'!C9</x:f>
        <x:v>34</x:v>
      </x:c>
      <x:c r="D11" s="141" t="n">
        <x:f>B11-C11</x:f>
        <x:v>0</x:v>
      </x:c>
      <x:c r="E11" s="142" t="n">
        <x:v>0.000001</x:v>
      </x:c>
      <x:c r="F11" s="18" t="str">
        <x:f>IF(ABS(D11)&lt;=E11,"OK","CHECK")</x:f>
        <x:v>OK</x:v>
      </x:c>
      <x:c r="G11" s="148" t="str">
        <x:v>全域 = OB + FVG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40" t="str">
        <x:v>SL來源閉合</x:v>
      </x:c>
      <x:c r="B12" s="141" t="n">
        <x:f>'15檔明細'!K20</x:f>
        <x:v>43</x:v>
      </x:c>
      <x:c r="C12" s="141" t="n">
        <x:f>'來源分析'!B10+'來源分析'!C10</x:f>
        <x:v>43</x:v>
      </x:c>
      <x:c r="D12" s="141" t="n">
        <x:f>B12-C12</x:f>
        <x:v>0</x:v>
      </x:c>
      <x:c r="E12" s="142" t="n">
        <x:v>0.000001</x:v>
      </x:c>
      <x:c r="F12" s="18" t="str">
        <x:f>IF(ABS(D12)&lt;=E12,"OK","CHECK")</x:f>
        <x:v>OK</x:v>
      </x:c>
      <x:c r="G12" s="148" t="str">
        <x:v>全域 = OB + FVG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40" t="str">
        <x:v>Net R來源閉合</x:v>
      </x:c>
      <x:c r="B13" s="141" t="n">
        <x:f>'15檔明細'!N20</x:f>
        <x:v>35.5</x:v>
      </x:c>
      <x:c r="C13" s="141" t="n">
        <x:f>'來源分析'!B11+'來源分析'!C11</x:f>
        <x:v>35.5</x:v>
      </x:c>
      <x:c r="D13" s="141" t="n">
        <x:f>B13-C13</x:f>
        <x:v>0</x:v>
      </x:c>
      <x:c r="E13" s="142" t="n">
        <x:v>0.000001</x:v>
      </x:c>
      <x:c r="F13" s="18" t="str">
        <x:f>IF(ABS(D13)&lt;=E13,"OK","CHECK")</x:f>
        <x:v>OK</x:v>
      </x:c>
      <x:c r="G13" s="148" t="str">
        <x:v>全域 = OB + FVG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40" t="str">
        <x:v>逐檔結果檢查</x:v>
      </x:c>
      <x:c r="B14" s="141" t="n">
        <x:v>0</x:v>
      </x:c>
      <x:c r="C14" s="141" t="n">
        <x:f>COUNTIF('15檔明細'!T5:T19,"&lt;&gt;OK")</x:f>
        <x:v>0</x:v>
      </x:c>
      <x:c r="D14" s="141" t="n">
        <x:f>B14-C14</x:f>
        <x:v>0</x:v>
      </x:c>
      <x:c r="E14" s="142" t="n">
        <x:v>0.000001</x:v>
      </x:c>
      <x:c r="F14" s="18" t="str">
        <x:f>IF(ABS(D14)&lt;=E14,"OK","CHECK")</x:f>
        <x:v>OK</x:v>
      </x:c>
      <x:c r="G14" s="148" t="str">
        <x:v>非OK筆數應為0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40"/>
      <x:c r="B15" s="142"/>
      <x:c r="C15" s="142"/>
      <x:c r="D15" s="142"/>
      <x:c r="E15" s="142"/>
      <x:c r="F15" s="18"/>
      <x:c r="G15" s="148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44" t="str">
        <x:v>整體狀態</x:v>
      </x:c>
      <x:c r="B16" s="145"/>
      <x:c r="C16" s="145"/>
      <x:c r="D16" s="145"/>
      <x:c r="E16" s="145"/>
      <x:c r="F16" s="146" t="str">
        <x:f>IF(COUNTIF(F4:F14,"&lt;&gt;OK")=0,"OK","CHECK")</x:f>
        <x:v>OK</x:v>
      </x:c>
      <x:c r="G16" s="149" t="str">
        <x:v>所有檢查均應通過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G1"/>
    <x:mergeCell ref="A2:G2"/>
    <x:mergeCell ref="A16:E16"/>
  </x:mergeCells>
  <x:conditionalFormatting sqref="F4:F16">
    <x:cfRule type="containsText" dxfId="5" priority="1" operator="containsText" text="OK"/>
    <x:cfRule type="containsText" dxfId="6" priority="2" operator="containsText" text="CHECK"/>
  </x:conditionalFormatting>
  <x:pageMargins left="0.7" right="0.7" top="0.75" bottom="0.75" header="0.3" footer="0.3"/>
</x:worksheet>
</file>